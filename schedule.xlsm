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ichael\Desktop\"/>
    </mc:Choice>
  </mc:AlternateContent>
  <bookViews>
    <workbookView xWindow="0" yWindow="0" windowWidth="20730" windowHeight="11760"/>
  </bookViews>
  <sheets>
    <sheet name="Instructions" sheetId="16" r:id="rId1"/>
    <sheet name="deliverables" sheetId="11" r:id="rId2"/>
    <sheet name="schedule" sheetId="10" r:id="rId3"/>
    <sheet name="MC" sheetId="13" r:id="rId4"/>
    <sheet name="Estimation Indicator" sheetId="12"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G9" i="10"/>
  <c r="H9" i="10" s="1"/>
  <c r="G29" i="10"/>
  <c r="H29" i="10" s="1"/>
  <c r="G28" i="10"/>
  <c r="H28" i="10" s="1"/>
  <c r="G27" i="10"/>
  <c r="H27" i="10" s="1"/>
  <c r="G26" i="10"/>
  <c r="H26" i="10" s="1"/>
  <c r="G25" i="10"/>
  <c r="H25" i="10" s="1"/>
  <c r="G24" i="10"/>
  <c r="H24" i="10" s="1"/>
  <c r="G23" i="10"/>
  <c r="H23" i="10" s="1"/>
  <c r="G22" i="10"/>
  <c r="H22" i="10" s="1"/>
  <c r="G21" i="10"/>
  <c r="H21" i="10" s="1"/>
  <c r="G20" i="10"/>
  <c r="H20" i="10" s="1"/>
  <c r="G19" i="10"/>
  <c r="H19" i="10" s="1"/>
  <c r="G18" i="10"/>
  <c r="H18" i="10" s="1"/>
  <c r="G17" i="10"/>
  <c r="H17" i="10" s="1"/>
  <c r="G16" i="10"/>
  <c r="H16" i="10" s="1"/>
  <c r="G15" i="10"/>
  <c r="H15" i="10" s="1"/>
  <c r="G14" i="10"/>
  <c r="H14" i="10" s="1"/>
  <c r="G2" i="10"/>
  <c r="G3" i="10"/>
  <c r="G4" i="10"/>
  <c r="G5" i="10"/>
  <c r="G6" i="10"/>
  <c r="G7" i="10"/>
  <c r="G8" i="10"/>
  <c r="G10" i="10"/>
  <c r="G11" i="10"/>
  <c r="G12" i="10"/>
  <c r="G13" i="10"/>
  <c r="H13" i="10" l="1"/>
  <c r="H2" i="10"/>
  <c r="H3" i="10"/>
  <c r="H4" i="10"/>
  <c r="H5" i="10"/>
  <c r="H6" i="10"/>
  <c r="H7" i="10"/>
  <c r="H8" i="10"/>
  <c r="H10" i="10"/>
  <c r="H11" i="10"/>
  <c r="H12" i="10"/>
  <c r="F2" i="13" l="1"/>
  <c r="F3" i="13"/>
  <c r="F30" i="10" l="1"/>
  <c r="E30" i="10"/>
  <c r="D30" i="10"/>
  <c r="G30" i="10"/>
  <c r="I2" i="13" l="1"/>
</calcChain>
</file>

<file path=xl/sharedStrings.xml><?xml version="1.0" encoding="utf-8"?>
<sst xmlns="http://schemas.openxmlformats.org/spreadsheetml/2006/main" count="87" uniqueCount="44">
  <si>
    <t>Task</t>
  </si>
  <si>
    <t>Priority</t>
  </si>
  <si>
    <t>Orig Est</t>
  </si>
  <si>
    <t>Curr Est</t>
  </si>
  <si>
    <t>Elapsed</t>
  </si>
  <si>
    <t>Remain</t>
  </si>
  <si>
    <t>Notes</t>
  </si>
  <si>
    <t>Due Date</t>
  </si>
  <si>
    <t>Deliverable</t>
  </si>
  <si>
    <t>Trend</t>
  </si>
  <si>
    <t>Feature/Deliverable</t>
  </si>
  <si>
    <t>Setup</t>
  </si>
  <si>
    <t>Velocity</t>
  </si>
  <si>
    <t>dummy task for velocity</t>
  </si>
  <si>
    <t>Trial</t>
  </si>
  <si>
    <t>Date</t>
  </si>
  <si>
    <t>Confidence</t>
  </si>
  <si>
    <t>MC Says:</t>
  </si>
  <si>
    <t>Start date</t>
  </si>
  <si>
    <t>Average</t>
  </si>
  <si>
    <t>Std. Dev.</t>
  </si>
  <si>
    <t>Dev Thinks</t>
  </si>
  <si>
    <t>Feature A</t>
  </si>
  <si>
    <t>Feature B</t>
  </si>
  <si>
    <t>Feature C</t>
  </si>
  <si>
    <t>Feature D</t>
  </si>
  <si>
    <t>Dev box customization</t>
  </si>
  <si>
    <t>Review Documentation</t>
  </si>
  <si>
    <t>Online Training (HR stuff)</t>
  </si>
  <si>
    <t>code reviews</t>
  </si>
  <si>
    <t>document on wiki</t>
  </si>
  <si>
    <t>write getter functions</t>
  </si>
  <si>
    <t>write setter functions</t>
  </si>
  <si>
    <t>reflect on my greatness</t>
  </si>
  <si>
    <t>Listen to stack exchange podcast</t>
  </si>
  <si>
    <t>…creative name was difficult</t>
  </si>
  <si>
    <t>Create twitter account</t>
  </si>
  <si>
    <t>design replacement for Java</t>
  </si>
  <si>
    <t>implement a new language</t>
  </si>
  <si>
    <t>write test cases and automate</t>
  </si>
  <si>
    <t>Dummy</t>
  </si>
  <si>
    <t>Org Wants</t>
  </si>
  <si>
    <t>??/??/??</t>
  </si>
  <si>
    <t>~70%</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</si>
</sst>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sz val="11"/>
      <color theme="1"/>
      <name val="Calibri"/>
      <family val="2"/>
      <scheme val="minor"/>
    </font>
    <font>
      <b/>
      <sz val="11"/>
      <name val="Calibri"/>
      <family val="2"/>
      <scheme val="minor"/>
    </font>
    <font>
      <sz val="11"/>
      <color rgb="FF000000"/>
      <name val="Calibri"/>
      <family val="2"/>
    </font>
  </fonts>
  <fills count="3">
    <fill>
      <patternFill patternType="none"/>
    </fill>
    <fill>
      <patternFill patternType="gray125"/>
    </fill>
    <fill>
      <patternFill patternType="solid">
        <fgColor rgb="FFFFFFCC"/>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3">
    <xf numFmtId="0" fontId="0" fillId="0" borderId="0"/>
    <xf numFmtId="9" fontId="2" fillId="0" borderId="0" applyFont="0" applyFill="0" applyBorder="0" applyAlignment="0" applyProtection="0"/>
    <xf numFmtId="0" fontId="2" fillId="2" borderId="1" applyNumberFormat="0" applyFont="0" applyAlignment="0" applyProtection="0"/>
  </cellStyleXfs>
  <cellXfs count="12">
    <xf numFmtId="0" fontId="0" fillId="0" borderId="0" xfId="0"/>
    <xf numFmtId="0" fontId="0" fillId="0" borderId="0" xfId="0" applyNumberFormat="1"/>
    <xf numFmtId="0" fontId="1" fillId="0" borderId="0" xfId="0" applyFont="1"/>
    <xf numFmtId="14" fontId="0" fillId="0" borderId="0" xfId="0" applyNumberFormat="1"/>
    <xf numFmtId="0" fontId="0" fillId="0" borderId="0" xfId="0" applyAlignment="1">
      <alignment wrapText="1"/>
    </xf>
    <xf numFmtId="14" fontId="0" fillId="0" borderId="0" xfId="0" applyNumberFormat="1" applyFont="1"/>
    <xf numFmtId="0" fontId="1" fillId="2" borderId="1" xfId="2" applyFont="1"/>
    <xf numFmtId="0" fontId="3" fillId="2" borderId="1" xfId="2" applyFont="1"/>
    <xf numFmtId="2" fontId="1" fillId="2" borderId="1" xfId="2" applyNumberFormat="1" applyFont="1"/>
    <xf numFmtId="9" fontId="0" fillId="0" borderId="0" xfId="1" applyFont="1"/>
    <xf numFmtId="9" fontId="0" fillId="0" borderId="0" xfId="1" applyFont="1" applyAlignment="1">
      <alignment horizontal="right"/>
    </xf>
    <xf numFmtId="14" fontId="0" fillId="0" borderId="0" xfId="0" applyNumberFormat="1" applyAlignment="1">
      <alignment horizontal="right"/>
    </xf>
  </cellXfs>
  <cellStyles count="3">
    <cellStyle name="Normal" xfId="0" builtinId="0"/>
    <cellStyle name="Note" xfId="2" builtinId="10"/>
    <cellStyle name="Percent" xfId="1" builtinId="5"/>
  </cellStyles>
  <dxfs count="14">
    <dxf>
      <numFmt numFmtId="19" formatCode="m/d/yyyy"/>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font>
        <b/>
        <strike val="0"/>
        <outline val="0"/>
        <shadow val="0"/>
        <u val="none"/>
        <vertAlign val="baseline"/>
        <sz val="11"/>
        <color auto="1"/>
        <name val="Calibri"/>
        <scheme val="minor"/>
      </font>
    </dxf>
    <dxf>
      <font>
        <b val="0"/>
        <i val="0"/>
        <strike val="0"/>
        <condense val="0"/>
        <extend val="0"/>
        <outline val="0"/>
        <shadow val="0"/>
        <u val="none"/>
        <vertAlign val="baseline"/>
        <sz val="11"/>
        <color theme="1"/>
        <name val="Calibri"/>
        <scheme val="minor"/>
      </font>
    </dxf>
    <dxf>
      <border outline="0">
        <top style="thin">
          <color rgb="FFB2B2B2"/>
        </top>
      </border>
    </dxf>
    <dxf>
      <border outline="0">
        <bottom style="thin">
          <color rgb="FFB2B2B2"/>
        </bottom>
      </border>
    </dxf>
    <dxf>
      <font>
        <b/>
        <i val="0"/>
        <strike val="0"/>
        <condense val="0"/>
        <extend val="0"/>
        <outline val="0"/>
        <shadow val="0"/>
        <u val="none"/>
        <vertAlign val="baseline"/>
        <sz val="11"/>
        <color auto="1"/>
        <name val="Calibri"/>
        <scheme val="minor"/>
      </font>
    </dxf>
  </dxfs>
  <tableStyles count="0" defaultTableStyle="TableStyleMedium2" defaultPivotStyle="PivotStyleLight16"/>
  <colors>
    <mruColors>
      <color rgb="FFF8F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chartsheet" Target="chartsheets/sheet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MC Trials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MC!$B$2:$B$101</c:f>
              <c:numCache>
                <c:formatCode>m/d/yyyy</c:formatCode>
                <c:ptCount val="100"/>
                <c:pt idx="0">
                  <c:v>41649</c:v>
                </c:pt>
                <c:pt idx="1">
                  <c:v>41670</c:v>
                </c:pt>
                <c:pt idx="2">
                  <c:v>41621</c:v>
                </c:pt>
                <c:pt idx="3">
                  <c:v>41627</c:v>
                </c:pt>
                <c:pt idx="4">
                  <c:v>41634</c:v>
                </c:pt>
                <c:pt idx="5">
                  <c:v>41654</c:v>
                </c:pt>
                <c:pt idx="6">
                  <c:v>41619</c:v>
                </c:pt>
                <c:pt idx="7">
                  <c:v>41639</c:v>
                </c:pt>
                <c:pt idx="8">
                  <c:v>41603</c:v>
                </c:pt>
                <c:pt idx="9">
                  <c:v>41593</c:v>
                </c:pt>
                <c:pt idx="10">
                  <c:v>41621</c:v>
                </c:pt>
                <c:pt idx="11">
                  <c:v>41593</c:v>
                </c:pt>
                <c:pt idx="12">
                  <c:v>41590</c:v>
                </c:pt>
                <c:pt idx="13">
                  <c:v>41642</c:v>
                </c:pt>
                <c:pt idx="14">
                  <c:v>41638</c:v>
                </c:pt>
                <c:pt idx="15">
                  <c:v>41597</c:v>
                </c:pt>
                <c:pt idx="16">
                  <c:v>41648</c:v>
                </c:pt>
                <c:pt idx="17">
                  <c:v>41619</c:v>
                </c:pt>
                <c:pt idx="18">
                  <c:v>41638</c:v>
                </c:pt>
                <c:pt idx="19">
                  <c:v>41605</c:v>
                </c:pt>
                <c:pt idx="20">
                  <c:v>41638</c:v>
                </c:pt>
                <c:pt idx="21">
                  <c:v>41669</c:v>
                </c:pt>
                <c:pt idx="22">
                  <c:v>41640</c:v>
                </c:pt>
                <c:pt idx="23">
                  <c:v>41626</c:v>
                </c:pt>
                <c:pt idx="24">
                  <c:v>41680</c:v>
                </c:pt>
                <c:pt idx="25">
                  <c:v>41585</c:v>
                </c:pt>
                <c:pt idx="26">
                  <c:v>41624</c:v>
                </c:pt>
                <c:pt idx="27">
                  <c:v>41610</c:v>
                </c:pt>
                <c:pt idx="28">
                  <c:v>41718</c:v>
                </c:pt>
                <c:pt idx="29">
                  <c:v>41642</c:v>
                </c:pt>
                <c:pt idx="30">
                  <c:v>41632</c:v>
                </c:pt>
                <c:pt idx="31">
                  <c:v>41617</c:v>
                </c:pt>
                <c:pt idx="32">
                  <c:v>41597</c:v>
                </c:pt>
                <c:pt idx="33">
                  <c:v>41620</c:v>
                </c:pt>
                <c:pt idx="34">
                  <c:v>41624</c:v>
                </c:pt>
                <c:pt idx="35">
                  <c:v>41621</c:v>
                </c:pt>
                <c:pt idx="36">
                  <c:v>41620</c:v>
                </c:pt>
                <c:pt idx="37">
                  <c:v>41645</c:v>
                </c:pt>
                <c:pt idx="38">
                  <c:v>41648</c:v>
                </c:pt>
                <c:pt idx="39">
                  <c:v>41610</c:v>
                </c:pt>
                <c:pt idx="40">
                  <c:v>41649</c:v>
                </c:pt>
                <c:pt idx="41">
                  <c:v>41639</c:v>
                </c:pt>
                <c:pt idx="42">
                  <c:v>41605</c:v>
                </c:pt>
                <c:pt idx="43">
                  <c:v>41593</c:v>
                </c:pt>
                <c:pt idx="44">
                  <c:v>41649</c:v>
                </c:pt>
                <c:pt idx="45">
                  <c:v>41610</c:v>
                </c:pt>
                <c:pt idx="46">
                  <c:v>41667</c:v>
                </c:pt>
                <c:pt idx="47">
                  <c:v>41605</c:v>
                </c:pt>
                <c:pt idx="48">
                  <c:v>41638</c:v>
                </c:pt>
                <c:pt idx="49">
                  <c:v>41646</c:v>
                </c:pt>
                <c:pt idx="50">
                  <c:v>41590</c:v>
                </c:pt>
                <c:pt idx="51">
                  <c:v>41610</c:v>
                </c:pt>
                <c:pt idx="52">
                  <c:v>41605</c:v>
                </c:pt>
                <c:pt idx="53">
                  <c:v>41684</c:v>
                </c:pt>
                <c:pt idx="54">
                  <c:v>41624</c:v>
                </c:pt>
                <c:pt idx="55">
                  <c:v>41695</c:v>
                </c:pt>
                <c:pt idx="56">
                  <c:v>41635</c:v>
                </c:pt>
                <c:pt idx="57">
                  <c:v>41626</c:v>
                </c:pt>
                <c:pt idx="58">
                  <c:v>41625</c:v>
                </c:pt>
                <c:pt idx="59">
                  <c:v>41621</c:v>
                </c:pt>
                <c:pt idx="60">
                  <c:v>41624</c:v>
                </c:pt>
                <c:pt idx="61">
                  <c:v>41646</c:v>
                </c:pt>
                <c:pt idx="62">
                  <c:v>41619</c:v>
                </c:pt>
                <c:pt idx="63">
                  <c:v>41618</c:v>
                </c:pt>
                <c:pt idx="64">
                  <c:v>41625</c:v>
                </c:pt>
                <c:pt idx="65">
                  <c:v>41634</c:v>
                </c:pt>
                <c:pt idx="66">
                  <c:v>41687</c:v>
                </c:pt>
                <c:pt idx="67">
                  <c:v>41680</c:v>
                </c:pt>
                <c:pt idx="68">
                  <c:v>41619</c:v>
                </c:pt>
                <c:pt idx="69">
                  <c:v>41613</c:v>
                </c:pt>
                <c:pt idx="70">
                  <c:v>41590</c:v>
                </c:pt>
                <c:pt idx="71">
                  <c:v>41611</c:v>
                </c:pt>
                <c:pt idx="72">
                  <c:v>41683</c:v>
                </c:pt>
                <c:pt idx="73">
                  <c:v>41639</c:v>
                </c:pt>
                <c:pt idx="74">
                  <c:v>41647</c:v>
                </c:pt>
                <c:pt idx="75">
                  <c:v>41687</c:v>
                </c:pt>
                <c:pt idx="76">
                  <c:v>41723</c:v>
                </c:pt>
                <c:pt idx="77">
                  <c:v>41648</c:v>
                </c:pt>
                <c:pt idx="78">
                  <c:v>41663</c:v>
                </c:pt>
                <c:pt idx="79">
                  <c:v>41626</c:v>
                </c:pt>
                <c:pt idx="80">
                  <c:v>41621</c:v>
                </c:pt>
                <c:pt idx="81">
                  <c:v>41677</c:v>
                </c:pt>
                <c:pt idx="82">
                  <c:v>41638</c:v>
                </c:pt>
                <c:pt idx="83">
                  <c:v>41639</c:v>
                </c:pt>
                <c:pt idx="84">
                  <c:v>41695</c:v>
                </c:pt>
                <c:pt idx="85">
                  <c:v>41652</c:v>
                </c:pt>
                <c:pt idx="86">
                  <c:v>41605</c:v>
                </c:pt>
                <c:pt idx="87">
                  <c:v>41656</c:v>
                </c:pt>
                <c:pt idx="88">
                  <c:v>41683</c:v>
                </c:pt>
                <c:pt idx="89">
                  <c:v>41625</c:v>
                </c:pt>
                <c:pt idx="90">
                  <c:v>41604</c:v>
                </c:pt>
                <c:pt idx="91">
                  <c:v>41670</c:v>
                </c:pt>
                <c:pt idx="92">
                  <c:v>41656</c:v>
                </c:pt>
                <c:pt idx="93">
                  <c:v>41698</c:v>
                </c:pt>
                <c:pt idx="94">
                  <c:v>41656</c:v>
                </c:pt>
                <c:pt idx="95">
                  <c:v>41674</c:v>
                </c:pt>
                <c:pt idx="96">
                  <c:v>41607</c:v>
                </c:pt>
                <c:pt idx="97">
                  <c:v>41641</c:v>
                </c:pt>
                <c:pt idx="98">
                  <c:v>41620</c:v>
                </c:pt>
                <c:pt idx="99">
                  <c:v>41584</c:v>
                </c:pt>
              </c:numCache>
            </c:numRef>
          </c:cat>
          <c:val>
            <c:numRef>
              <c:f>MC!$C$2:$C$101</c:f>
              <c:numCache>
                <c:formatCode>0%</c:formatCode>
                <c:ptCount val="100"/>
                <c:pt idx="0">
                  <c:v>0.76</c:v>
                </c:pt>
                <c:pt idx="1">
                  <c:v>0.86</c:v>
                </c:pt>
                <c:pt idx="2">
                  <c:v>0.38</c:v>
                </c:pt>
                <c:pt idx="3">
                  <c:v>0.49</c:v>
                </c:pt>
                <c:pt idx="4">
                  <c:v>0.52</c:v>
                </c:pt>
                <c:pt idx="5">
                  <c:v>0.78</c:v>
                </c:pt>
                <c:pt idx="6">
                  <c:v>0.3</c:v>
                </c:pt>
                <c:pt idx="7">
                  <c:v>0.62</c:v>
                </c:pt>
                <c:pt idx="8">
                  <c:v>0.11</c:v>
                </c:pt>
                <c:pt idx="9">
                  <c:v>0.08</c:v>
                </c:pt>
                <c:pt idx="10">
                  <c:v>0.38</c:v>
                </c:pt>
                <c:pt idx="11">
                  <c:v>0.08</c:v>
                </c:pt>
                <c:pt idx="12">
                  <c:v>0.05</c:v>
                </c:pt>
                <c:pt idx="13">
                  <c:v>0.66</c:v>
                </c:pt>
                <c:pt idx="14">
                  <c:v>0.57999999999999996</c:v>
                </c:pt>
                <c:pt idx="15">
                  <c:v>0.1</c:v>
                </c:pt>
                <c:pt idx="16">
                  <c:v>0.73</c:v>
                </c:pt>
                <c:pt idx="17">
                  <c:v>0.3</c:v>
                </c:pt>
                <c:pt idx="18">
                  <c:v>0.57999999999999996</c:v>
                </c:pt>
                <c:pt idx="19">
                  <c:v>0.17</c:v>
                </c:pt>
                <c:pt idx="20">
                  <c:v>0.57999999999999996</c:v>
                </c:pt>
                <c:pt idx="21">
                  <c:v>0.84</c:v>
                </c:pt>
                <c:pt idx="22">
                  <c:v>0.63</c:v>
                </c:pt>
                <c:pt idx="23">
                  <c:v>0.48</c:v>
                </c:pt>
                <c:pt idx="24">
                  <c:v>0.9</c:v>
                </c:pt>
                <c:pt idx="25">
                  <c:v>0.02</c:v>
                </c:pt>
                <c:pt idx="26">
                  <c:v>0.42</c:v>
                </c:pt>
                <c:pt idx="27">
                  <c:v>0.22</c:v>
                </c:pt>
                <c:pt idx="28">
                  <c:v>0.99</c:v>
                </c:pt>
                <c:pt idx="29">
                  <c:v>0.66</c:v>
                </c:pt>
                <c:pt idx="30">
                  <c:v>0.5</c:v>
                </c:pt>
                <c:pt idx="31">
                  <c:v>0.25</c:v>
                </c:pt>
                <c:pt idx="32">
                  <c:v>0.1</c:v>
                </c:pt>
                <c:pt idx="33">
                  <c:v>0.33</c:v>
                </c:pt>
                <c:pt idx="34">
                  <c:v>0.42</c:v>
                </c:pt>
                <c:pt idx="35">
                  <c:v>0.38</c:v>
                </c:pt>
                <c:pt idx="36">
                  <c:v>0.33</c:v>
                </c:pt>
                <c:pt idx="37">
                  <c:v>0.67</c:v>
                </c:pt>
                <c:pt idx="38">
                  <c:v>0.73</c:v>
                </c:pt>
                <c:pt idx="39">
                  <c:v>0.22</c:v>
                </c:pt>
                <c:pt idx="40">
                  <c:v>0.76</c:v>
                </c:pt>
                <c:pt idx="41">
                  <c:v>0.62</c:v>
                </c:pt>
                <c:pt idx="42">
                  <c:v>0.17</c:v>
                </c:pt>
                <c:pt idx="43">
                  <c:v>0.08</c:v>
                </c:pt>
                <c:pt idx="44">
                  <c:v>0.76</c:v>
                </c:pt>
                <c:pt idx="45">
                  <c:v>0.22</c:v>
                </c:pt>
                <c:pt idx="46">
                  <c:v>0.83</c:v>
                </c:pt>
                <c:pt idx="47">
                  <c:v>0.17</c:v>
                </c:pt>
                <c:pt idx="48">
                  <c:v>0.57999999999999996</c:v>
                </c:pt>
                <c:pt idx="49">
                  <c:v>0.69</c:v>
                </c:pt>
                <c:pt idx="50">
                  <c:v>0.05</c:v>
                </c:pt>
                <c:pt idx="51">
                  <c:v>0.22</c:v>
                </c:pt>
                <c:pt idx="52">
                  <c:v>0.17</c:v>
                </c:pt>
                <c:pt idx="53">
                  <c:v>0.93</c:v>
                </c:pt>
                <c:pt idx="54">
                  <c:v>0.42</c:v>
                </c:pt>
                <c:pt idx="55">
                  <c:v>0.97</c:v>
                </c:pt>
                <c:pt idx="56">
                  <c:v>0.53</c:v>
                </c:pt>
                <c:pt idx="57">
                  <c:v>0.48</c:v>
                </c:pt>
                <c:pt idx="58">
                  <c:v>0.45</c:v>
                </c:pt>
                <c:pt idx="59">
                  <c:v>0.38</c:v>
                </c:pt>
                <c:pt idx="60">
                  <c:v>0.42</c:v>
                </c:pt>
                <c:pt idx="61">
                  <c:v>0.69</c:v>
                </c:pt>
                <c:pt idx="62">
                  <c:v>0.3</c:v>
                </c:pt>
                <c:pt idx="63">
                  <c:v>0.26</c:v>
                </c:pt>
                <c:pt idx="64">
                  <c:v>0.45</c:v>
                </c:pt>
                <c:pt idx="65">
                  <c:v>0.52</c:v>
                </c:pt>
                <c:pt idx="66">
                  <c:v>0.95</c:v>
                </c:pt>
                <c:pt idx="67">
                  <c:v>0.9</c:v>
                </c:pt>
                <c:pt idx="68">
                  <c:v>0.3</c:v>
                </c:pt>
                <c:pt idx="69">
                  <c:v>0.24</c:v>
                </c:pt>
                <c:pt idx="70">
                  <c:v>0.05</c:v>
                </c:pt>
                <c:pt idx="71">
                  <c:v>0.23</c:v>
                </c:pt>
                <c:pt idx="72">
                  <c:v>0.92</c:v>
                </c:pt>
                <c:pt idx="73">
                  <c:v>0.62</c:v>
                </c:pt>
                <c:pt idx="74">
                  <c:v>0.7</c:v>
                </c:pt>
                <c:pt idx="75">
                  <c:v>0.95</c:v>
                </c:pt>
                <c:pt idx="76">
                  <c:v>1</c:v>
                </c:pt>
                <c:pt idx="77">
                  <c:v>0.73</c:v>
                </c:pt>
                <c:pt idx="78">
                  <c:v>0.82</c:v>
                </c:pt>
                <c:pt idx="79">
                  <c:v>0.48</c:v>
                </c:pt>
                <c:pt idx="80">
                  <c:v>0.38</c:v>
                </c:pt>
                <c:pt idx="81">
                  <c:v>0.88</c:v>
                </c:pt>
                <c:pt idx="82">
                  <c:v>0.57999999999999996</c:v>
                </c:pt>
                <c:pt idx="83">
                  <c:v>0.62</c:v>
                </c:pt>
                <c:pt idx="84">
                  <c:v>0.97</c:v>
                </c:pt>
                <c:pt idx="85">
                  <c:v>0.77</c:v>
                </c:pt>
                <c:pt idx="86">
                  <c:v>0.17</c:v>
                </c:pt>
                <c:pt idx="87">
                  <c:v>0.81</c:v>
                </c:pt>
                <c:pt idx="88">
                  <c:v>0.92</c:v>
                </c:pt>
                <c:pt idx="89">
                  <c:v>0.45</c:v>
                </c:pt>
                <c:pt idx="90">
                  <c:v>0.12</c:v>
                </c:pt>
                <c:pt idx="91">
                  <c:v>0.86</c:v>
                </c:pt>
                <c:pt idx="92">
                  <c:v>0.81</c:v>
                </c:pt>
                <c:pt idx="93">
                  <c:v>0.98</c:v>
                </c:pt>
                <c:pt idx="94">
                  <c:v>0.81</c:v>
                </c:pt>
                <c:pt idx="95">
                  <c:v>0.87</c:v>
                </c:pt>
                <c:pt idx="96">
                  <c:v>0.18</c:v>
                </c:pt>
                <c:pt idx="97">
                  <c:v>0.64</c:v>
                </c:pt>
                <c:pt idx="98">
                  <c:v>0.33</c:v>
                </c:pt>
                <c:pt idx="99">
                  <c:v>0.01</c:v>
                </c:pt>
              </c:numCache>
            </c:numRef>
          </c:val>
          <c:smooth val="0"/>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268001488"/>
        <c:axId val="-268003120"/>
      </c:lineChart>
      <c:scatterChart>
        <c:scatterStyle val="lineMarker"/>
        <c:varyColors val="0"/>
        <c:ser>
          <c:idx val="1"/>
          <c:order val="1"/>
          <c:tx>
            <c:strRef>
              <c:f>MC!$H$2</c:f>
              <c:strCache>
                <c:ptCount val="1"/>
                <c:pt idx="0">
                  <c:v>Dev Thinks</c:v>
                </c:pt>
              </c:strCache>
            </c:strRef>
          </c:tx>
          <c:spPr>
            <a:ln w="25400" cap="rnd">
              <a:noFill/>
              <a:round/>
            </a:ln>
            <a:effectLst/>
          </c:spPr>
          <c:marker>
            <c:symbol val="x"/>
            <c:size val="11"/>
            <c:spPr>
              <a:solidFill>
                <a:schemeClr val="tx1"/>
              </a:solidFill>
              <a:ln w="9525">
                <a:solidFill>
                  <a:schemeClr val="accent2"/>
                </a:solidFill>
              </a:ln>
              <a:effectLst/>
            </c:spPr>
          </c:marker>
          <c:xVal>
            <c:numRef>
              <c:f>MC!$I$2</c:f>
              <c:numCache>
                <c:formatCode>m/d/yyyy</c:formatCode>
                <c:ptCount val="1"/>
                <c:pt idx="0">
                  <c:v>41592</c:v>
                </c:pt>
              </c:numCache>
            </c:numRef>
          </c:xVal>
          <c:yVal>
            <c:numRef>
              <c:f>MC!$J$2</c:f>
              <c:numCache>
                <c:formatCode>0%</c:formatCode>
                <c:ptCount val="1"/>
                <c:pt idx="0">
                  <c:v>0.95</c:v>
                </c:pt>
              </c:numCache>
            </c:numRef>
          </c:yVal>
          <c:smooth val="0"/>
        </c:ser>
        <c:ser>
          <c:idx val="2"/>
          <c:order val="2"/>
          <c:tx>
            <c:strRef>
              <c:f>MC!$H$1</c:f>
              <c:strCache>
                <c:ptCount val="1"/>
                <c:pt idx="0">
                  <c:v>Org Wants</c:v>
                </c:pt>
              </c:strCache>
            </c:strRef>
          </c:tx>
          <c:spPr>
            <a:ln w="25400" cap="rnd">
              <a:noFill/>
              <a:round/>
            </a:ln>
            <a:effectLst/>
          </c:spPr>
          <c:marker>
            <c:symbol val="x"/>
            <c:size val="11"/>
            <c:spPr>
              <a:solidFill>
                <a:srgbClr val="FF0000"/>
              </a:solidFill>
              <a:ln w="9525">
                <a:solidFill>
                  <a:schemeClr val="tx1"/>
                </a:solidFill>
              </a:ln>
              <a:effectLst/>
            </c:spPr>
          </c:marker>
          <c:xVal>
            <c:numRef>
              <c:f>MC!$I$1</c:f>
              <c:numCache>
                <c:formatCode>m/d/yyyy</c:formatCode>
                <c:ptCount val="1"/>
                <c:pt idx="0">
                  <c:v>41744</c:v>
                </c:pt>
              </c:numCache>
            </c:numRef>
          </c:xVal>
          <c:yVal>
            <c:numRef>
              <c:f>MC!$J$1</c:f>
              <c:numCache>
                <c:formatCode>0%</c:formatCode>
                <c:ptCount val="1"/>
                <c:pt idx="0">
                  <c:v>0.95</c:v>
                </c:pt>
              </c:numCache>
            </c:numRef>
          </c:yVal>
          <c:smooth val="0"/>
        </c:ser>
        <c:dLbls>
          <c:showLegendKey val="0"/>
          <c:showVal val="0"/>
          <c:showCatName val="0"/>
          <c:showSerName val="0"/>
          <c:showPercent val="0"/>
          <c:showBubbleSize val="0"/>
        </c:dLbls>
        <c:axId val="-268001488"/>
        <c:axId val="-268003120"/>
      </c:scatterChart>
      <c:dateAx>
        <c:axId val="-2680014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solidFill>
                      <a:sysClr val="windowText" lastClr="000000"/>
                    </a:solidFill>
                  </a:rPr>
                  <a:t>Ship 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8003120"/>
        <c:crosses val="autoZero"/>
        <c:auto val="1"/>
        <c:lblOffset val="100"/>
        <c:baseTimeUnit val="days"/>
      </c:dateAx>
      <c:valAx>
        <c:axId val="-268003120"/>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solidFill>
                      <a:sysClr val="windowText" lastClr="000000"/>
                    </a:solidFill>
                  </a:rPr>
                  <a:t>Confidence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680014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8FAA8"/>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Actuals vs Estimate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v>Actuals vs Estimatel</c:v>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0"/>
          </c:trendline>
          <c:xVal>
            <c:numRef>
              <c:f>schedule!$D$2:$D$30</c:f>
              <c:numCache>
                <c:formatCode>General</c:formatCode>
                <c:ptCount val="28"/>
                <c:pt idx="0">
                  <c:v>1</c:v>
                </c:pt>
                <c:pt idx="1">
                  <c:v>2</c:v>
                </c:pt>
                <c:pt idx="2">
                  <c:v>6</c:v>
                </c:pt>
                <c:pt idx="3">
                  <c:v>6</c:v>
                </c:pt>
                <c:pt idx="4">
                  <c:v>6</c:v>
                </c:pt>
                <c:pt idx="5">
                  <c:v>6</c:v>
                </c:pt>
                <c:pt idx="6">
                  <c:v>8</c:v>
                </c:pt>
                <c:pt idx="7">
                  <c:v>8</c:v>
                </c:pt>
                <c:pt idx="8">
                  <c:v>8</c:v>
                </c:pt>
                <c:pt idx="9">
                  <c:v>40</c:v>
                </c:pt>
                <c:pt idx="10">
                  <c:v>16</c:v>
                </c:pt>
                <c:pt idx="11">
                  <c:v>8</c:v>
                </c:pt>
                <c:pt idx="12">
                  <c:v>8</c:v>
                </c:pt>
                <c:pt idx="13">
                  <c:v>8</c:v>
                </c:pt>
                <c:pt idx="14">
                  <c:v>4</c:v>
                </c:pt>
                <c:pt idx="15">
                  <c:v>8</c:v>
                </c:pt>
                <c:pt idx="16">
                  <c:v>16</c:v>
                </c:pt>
                <c:pt idx="17">
                  <c:v>8</c:v>
                </c:pt>
                <c:pt idx="18">
                  <c:v>2</c:v>
                </c:pt>
                <c:pt idx="19">
                  <c:v>3</c:v>
                </c:pt>
                <c:pt idx="20">
                  <c:v>8</c:v>
                </c:pt>
                <c:pt idx="21">
                  <c:v>8</c:v>
                </c:pt>
                <c:pt idx="22">
                  <c:v>2</c:v>
                </c:pt>
                <c:pt idx="23">
                  <c:v>8</c:v>
                </c:pt>
                <c:pt idx="24">
                  <c:v>8</c:v>
                </c:pt>
                <c:pt idx="25">
                  <c:v>8</c:v>
                </c:pt>
                <c:pt idx="26">
                  <c:v>4</c:v>
                </c:pt>
                <c:pt idx="27">
                  <c:v>8</c:v>
                </c:pt>
              </c:numCache>
            </c:numRef>
          </c:xVal>
          <c:yVal>
            <c:numRef>
              <c:f>schedule!$F$2:$F$30</c:f>
              <c:numCache>
                <c:formatCode>General</c:formatCode>
                <c:ptCount val="28"/>
                <c:pt idx="0">
                  <c:v>10</c:v>
                </c:pt>
                <c:pt idx="1">
                  <c:v>10</c:v>
                </c:pt>
                <c:pt idx="2">
                  <c:v>10</c:v>
                </c:pt>
                <c:pt idx="3">
                  <c:v>10</c:v>
                </c:pt>
                <c:pt idx="4">
                  <c:v>10</c:v>
                </c:pt>
                <c:pt idx="5">
                  <c:v>10</c:v>
                </c:pt>
                <c:pt idx="6">
                  <c:v>10</c:v>
                </c:pt>
                <c:pt idx="7">
                  <c:v>10</c:v>
                </c:pt>
                <c:pt idx="8">
                  <c:v>0</c:v>
                </c:pt>
                <c:pt idx="9">
                  <c:v>20</c:v>
                </c:pt>
                <c:pt idx="10">
                  <c:v>0</c:v>
                </c:pt>
                <c:pt idx="11">
                  <c:v>0</c:v>
                </c:pt>
                <c:pt idx="12">
                  <c:v>0</c:v>
                </c:pt>
                <c:pt idx="13">
                  <c:v>0</c:v>
                </c:pt>
                <c:pt idx="14">
                  <c:v>0</c:v>
                </c:pt>
                <c:pt idx="15">
                  <c:v>0</c:v>
                </c:pt>
                <c:pt idx="16">
                  <c:v>50</c:v>
                </c:pt>
                <c:pt idx="17">
                  <c:v>0</c:v>
                </c:pt>
                <c:pt idx="18">
                  <c:v>0</c:v>
                </c:pt>
                <c:pt idx="19">
                  <c:v>0</c:v>
                </c:pt>
                <c:pt idx="20">
                  <c:v>0</c:v>
                </c:pt>
                <c:pt idx="21">
                  <c:v>0</c:v>
                </c:pt>
                <c:pt idx="22">
                  <c:v>16</c:v>
                </c:pt>
                <c:pt idx="23">
                  <c:v>0</c:v>
                </c:pt>
                <c:pt idx="24">
                  <c:v>0</c:v>
                </c:pt>
                <c:pt idx="25">
                  <c:v>0</c:v>
                </c:pt>
                <c:pt idx="26">
                  <c:v>0</c:v>
                </c:pt>
                <c:pt idx="27">
                  <c:v>0</c:v>
                </c:pt>
              </c:numCache>
            </c:numRef>
          </c:yVal>
          <c:smooth val="0"/>
        </c:ser>
        <c:dLbls>
          <c:showLegendKey val="0"/>
          <c:showVal val="0"/>
          <c:showCatName val="0"/>
          <c:showSerName val="0"/>
          <c:showPercent val="0"/>
          <c:showBubbleSize val="0"/>
        </c:dLbls>
        <c:axId val="-267997136"/>
        <c:axId val="-267992240"/>
      </c:scatterChart>
      <c:valAx>
        <c:axId val="-267997136"/>
        <c:scaling>
          <c:orientation val="minMax"/>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Original Estimate</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7992240"/>
        <c:crosses val="autoZero"/>
        <c:crossBetween val="midCat"/>
      </c:valAx>
      <c:valAx>
        <c:axId val="-267992240"/>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Actual Time</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67997136"/>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sheetPr codeName="Chart1"/>
  <sheetViews>
    <sheetView zoomScale="99"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joelonsoftware.com/items/2007/10/26.html"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66675</xdr:rowOff>
    </xdr:from>
    <xdr:to>
      <xdr:col>13</xdr:col>
      <xdr:colOff>381000</xdr:colOff>
      <xdr:row>32</xdr:row>
      <xdr:rowOff>9525</xdr:rowOff>
    </xdr:to>
    <xdr:sp macro="" textlink="">
      <xdr:nvSpPr>
        <xdr:cNvPr id="2" name="TextBox 1">
          <a:hlinkClick xmlns:r="http://schemas.openxmlformats.org/officeDocument/2006/relationships" r:id="rId1"/>
        </xdr:cNvPr>
        <xdr:cNvSpPr txBox="1"/>
      </xdr:nvSpPr>
      <xdr:spPr>
        <a:xfrm>
          <a:off x="142875" y="66675"/>
          <a:ext cx="8162925" cy="603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dk1"/>
              </a:solidFill>
              <a:effectLst/>
              <a:latin typeface="+mn-lt"/>
              <a:ea typeface="+mn-ea"/>
              <a:cs typeface="+mn-cs"/>
            </a:rPr>
            <a:t>Evidence Based Scheduling (simple version)</a:t>
          </a:r>
          <a:r>
            <a:rPr lang="en-US" sz="1400" b="1"/>
            <a:t> </a:t>
          </a:r>
        </a:p>
        <a:p>
          <a:endParaRPr lang="en-US" sz="1100" b="0" i="0" u="none" strike="noStrike">
            <a:solidFill>
              <a:schemeClr val="dk1"/>
            </a:solidFill>
            <a:effectLst/>
            <a:latin typeface="+mn-lt"/>
            <a:ea typeface="+mn-ea"/>
            <a:cs typeface="+mn-cs"/>
          </a:endParaRPr>
        </a:p>
        <a:p>
          <a:r>
            <a:rPr lang="en-US" sz="1200" b="1" i="0" u="sng" strike="noStrike">
              <a:solidFill>
                <a:schemeClr val="dk1"/>
              </a:solidFill>
              <a:effectLst/>
              <a:latin typeface="+mn-lt"/>
              <a:ea typeface="+mn-ea"/>
              <a:cs typeface="+mn-cs"/>
            </a:rPr>
            <a:t>Instructions:</a:t>
          </a:r>
          <a:r>
            <a:rPr lang="en-US" sz="1200" b="1" u="sng"/>
            <a:t> </a:t>
          </a:r>
        </a:p>
        <a:p>
          <a:r>
            <a:rPr lang="en-US" sz="1100" b="0" i="0" u="none" strike="noStrike">
              <a:solidFill>
                <a:schemeClr val="dk1"/>
              </a:solidFill>
              <a:effectLst/>
              <a:latin typeface="+mn-lt"/>
              <a:ea typeface="+mn-ea"/>
              <a:cs typeface="+mn-cs"/>
            </a:rPr>
            <a:t>1. </a:t>
          </a:r>
          <a:r>
            <a:rPr lang="en-US" sz="1100" b="1" i="0" u="none" strike="noStrike">
              <a:solidFill>
                <a:srgbClr val="C00000"/>
              </a:solidFill>
              <a:effectLst/>
              <a:latin typeface="+mn-lt"/>
              <a:ea typeface="+mn-ea"/>
              <a:cs typeface="+mn-cs"/>
            </a:rPr>
            <a:t>Before you do anything</a:t>
          </a:r>
          <a:r>
            <a:rPr lang="en-US" sz="1100" b="0" i="0" u="none" strike="noStrike">
              <a:solidFill>
                <a:schemeClr val="dk1"/>
              </a:solidFill>
              <a:effectLst/>
              <a:latin typeface="+mn-lt"/>
              <a:ea typeface="+mn-ea"/>
              <a:cs typeface="+mn-cs"/>
            </a:rPr>
            <a:t>, go read the blog post from Joel Spolsky a few times: http://</a:t>
          </a:r>
          <a:r>
            <a:rPr lang="en-US" sz="1100" b="0" i="0" u="sng" strike="noStrike">
              <a:solidFill>
                <a:schemeClr val="accent1"/>
              </a:solidFill>
              <a:effectLst/>
              <a:latin typeface="+mn-lt"/>
              <a:ea typeface="+mn-ea"/>
              <a:cs typeface="+mn-cs"/>
            </a:rPr>
            <a:t>www.joelonsoftware.com/items/2007/10/26.html</a:t>
          </a:r>
          <a:r>
            <a:rPr lang="en-US"/>
            <a:t> </a:t>
          </a:r>
        </a:p>
        <a:p>
          <a:r>
            <a:rPr lang="en-US" sz="1100"/>
            <a:t>2. Do</a:t>
          </a:r>
          <a:r>
            <a:rPr lang="en-US" sz="1100" baseline="0"/>
            <a:t> not change the names of these spreadsheets... Unless you want to go fix the little bit of VBA behind it.</a:t>
          </a:r>
        </a:p>
        <a:p>
          <a:r>
            <a:rPr lang="en-US" sz="1100" baseline="0"/>
            <a:t>3. Breakdown all the work into the schedule table in the schedule tab.  Read the article again to be sure you understand how critical this is, who is suppose to be responsible for the work breakdown, how much breakdown, and so on</a:t>
          </a:r>
        </a:p>
        <a:p>
          <a:r>
            <a:rPr lang="en-US" sz="1100" baseline="0"/>
            <a:t>4. Read the article again.  Make sure you understand velocities</a:t>
          </a:r>
        </a:p>
        <a:p>
          <a:r>
            <a:rPr lang="en-US" sz="1100" baseline="0"/>
            <a:t>5. Review the VBA code - it's all about manipulating the MC sheet.</a:t>
          </a:r>
        </a:p>
        <a:p>
          <a:r>
            <a:rPr lang="en-US" sz="1100" baseline="0"/>
            <a:t>6. Go to the MC sheet and click the button.</a:t>
          </a:r>
        </a:p>
        <a:p>
          <a:r>
            <a:rPr lang="en-US" sz="1100" baseline="0"/>
            <a:t>7. Click as many times as you like</a:t>
          </a:r>
        </a:p>
        <a:p>
          <a:r>
            <a:rPr lang="en-US" sz="1100" baseline="0"/>
            <a:t>8. Customize the code/workbook any way you want.</a:t>
          </a:r>
        </a:p>
        <a:p>
          <a:endParaRPr lang="en-US" sz="1100" baseline="0"/>
        </a:p>
        <a:p>
          <a:endParaRPr lang="en-US" sz="1100" baseline="0"/>
        </a:p>
        <a:p>
          <a:r>
            <a:rPr lang="en-US" sz="1100" baseline="0"/>
            <a:t>I'll post some writeup/how-to about this sheet on my site ( http://iammyownorg.org ) or on github sometimes soon.  If you're reading these words, then I haven't done that part yet :).  Feel free to contact me on Twitter to ask for help, @iammyownorg</a:t>
          </a:r>
        </a:p>
        <a:p>
          <a:endParaRPr lang="en-US" sz="1100" baseline="0"/>
        </a:p>
        <a:p>
          <a:r>
            <a:rPr lang="en-US" sz="1100" baseline="0"/>
            <a:t>Good Luck!</a:t>
          </a:r>
        </a:p>
        <a:p>
          <a:r>
            <a:rPr lang="en-US" sz="1100" baseline="0"/>
            <a:t>Mike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5</xdr:row>
      <xdr:rowOff>185737</xdr:rowOff>
    </xdr:from>
    <xdr:to>
      <xdr:col>15</xdr:col>
      <xdr:colOff>266700</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6</xdr:col>
          <xdr:colOff>457200</xdr:colOff>
          <xdr:row>3</xdr:row>
          <xdr:rowOff>161925</xdr:rowOff>
        </xdr:from>
        <xdr:to>
          <xdr:col>12</xdr:col>
          <xdr:colOff>466725</xdr:colOff>
          <xdr:row>5</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Monte Carlo Simulation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668712" cy="629227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ables/table1.xml><?xml version="1.0" encoding="utf-8"?>
<table xmlns="http://schemas.openxmlformats.org/spreadsheetml/2006/main" id="1" name="Table1" displayName="Table1" ref="A1:E6" totalsRowShown="0">
  <autoFilter ref="A1:E6"/>
  <tableColumns count="5">
    <tableColumn id="1" name="Deliverable"/>
    <tableColumn id="2" name="Priority"/>
    <tableColumn id="3" name="Due Date"/>
    <tableColumn id="4" name="Trend"/>
    <tableColumn id="5" name="Notes"/>
  </tableColumns>
  <tableStyleInfo name="TableStyleLight8" showFirstColumn="0" showLastColumn="0" showRowStripes="1" showColumnStripes="0"/>
</table>
</file>

<file path=xl/tables/table2.xml><?xml version="1.0" encoding="utf-8"?>
<table xmlns="http://schemas.openxmlformats.org/spreadsheetml/2006/main" id="9" name="TableSched" displayName="TableSched" ref="A1:I30" totalsRowCount="1" headerRowDxfId="9" headerRowCellStyle="Note">
  <autoFilter ref="A1:I29"/>
  <sortState ref="A2:G26">
    <sortCondition ref="C1:C26"/>
  </sortState>
  <tableColumns count="9">
    <tableColumn id="1" name="Feature/Deliverable" dataDxfId="8" totalsRowDxfId="3"/>
    <tableColumn id="2" name="Task" dataDxfId="7"/>
    <tableColumn id="3" name="Priority"/>
    <tableColumn id="4" name="Orig Est" totalsRowFunction="custom">
      <totalsRowFormula>SUM(TableSched[Orig Est])</totalsRowFormula>
    </tableColumn>
    <tableColumn id="5" name="Curr Est" totalsRowFunction="custom">
      <totalsRowFormula>SUM(TableSched[Curr Est])</totalsRowFormula>
    </tableColumn>
    <tableColumn id="6" name="Elapsed" totalsRowFunction="custom">
      <totalsRowFormula>SUM(TableSched[Elapsed])</totalsRowFormula>
    </tableColumn>
    <tableColumn id="7" name="Remain" totalsRowFunction="custom" dataDxfId="6" totalsRowDxfId="2">
      <calculatedColumnFormula>TableSched[[#This Row],[Curr Est]]-TableSched[[#This Row],[Elapsed]]</calculatedColumnFormula>
      <totalsRowFormula>SUM(TableSched[Remain])</totalsRowFormula>
    </tableColumn>
    <tableColumn id="9" name="Velocity" dataDxfId="5" totalsRowDxfId="1">
      <calculatedColumnFormula>IF((TableSched[[#This Row],[Remain]]=0)*(TableSched[[#This Row],[Elapsed]]&gt;0),TableSched[[#This Row],[Orig Est]]/TableSched[[#This Row],[Elapsed]], 0 )</calculatedColumnFormula>
    </tableColumn>
    <tableColumn id="8" name="Notes" dataDxfId="4"/>
  </tableColumns>
  <tableStyleInfo name="TableStyleLight8" showFirstColumn="0" showLastColumn="0" showRowStripes="1" showColumnStripes="0"/>
</table>
</file>

<file path=xl/tables/table3.xml><?xml version="1.0" encoding="utf-8"?>
<table xmlns="http://schemas.openxmlformats.org/spreadsheetml/2006/main" id="2" name="Table2" displayName="Table2" ref="A1:C101" totalsRowShown="0" headerRowDxfId="13" headerRowBorderDxfId="12" tableBorderDxfId="11" headerRowCellStyle="Note">
  <autoFilter ref="A1:C101"/>
  <tableColumns count="3">
    <tableColumn id="1" name="Trial"/>
    <tableColumn id="2" name="Date" dataDxfId="0">
      <calculatedColumnFormula>WORKDAY($F$1,$A2/8)</calculatedColumnFormula>
    </tableColumn>
    <tableColumn id="3" name="Confidence" dataDxfId="10" dataCellStyle="Percent">
      <calculatedColumnFormula>FREQUENCY($B$2:$B$101,B2)/100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abSelected="1" workbookViewId="0"/>
  </sheetViews>
  <sheetFormatPr defaultRowHeight="15" x14ac:dyDescent="0.25"/>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6"/>
  <sheetViews>
    <sheetView workbookViewId="0">
      <selection activeCell="C7" sqref="C7"/>
    </sheetView>
  </sheetViews>
  <sheetFormatPr defaultRowHeight="15" x14ac:dyDescent="0.25"/>
  <cols>
    <col min="1" max="1" width="29" bestFit="1" customWidth="1"/>
    <col min="2" max="2" width="9.7109375" customWidth="1"/>
    <col min="3" max="3" width="11.42578125" bestFit="1" customWidth="1"/>
  </cols>
  <sheetData>
    <row r="1" spans="1:5" x14ac:dyDescent="0.25">
      <c r="A1" t="s">
        <v>8</v>
      </c>
      <c r="B1" t="s">
        <v>1</v>
      </c>
      <c r="C1" t="s">
        <v>7</v>
      </c>
      <c r="D1" t="s">
        <v>9</v>
      </c>
      <c r="E1" t="s">
        <v>6</v>
      </c>
    </row>
    <row r="2" spans="1:5" x14ac:dyDescent="0.25">
      <c r="A2" t="s">
        <v>11</v>
      </c>
      <c r="B2">
        <v>1</v>
      </c>
      <c r="C2" s="3">
        <v>41531</v>
      </c>
    </row>
    <row r="3" spans="1:5" x14ac:dyDescent="0.25">
      <c r="A3" t="s">
        <v>22</v>
      </c>
      <c r="B3">
        <v>1</v>
      </c>
      <c r="C3" s="3">
        <v>41548</v>
      </c>
    </row>
    <row r="4" spans="1:5" x14ac:dyDescent="0.25">
      <c r="A4" t="s">
        <v>23</v>
      </c>
      <c r="B4">
        <v>1</v>
      </c>
      <c r="C4" s="3">
        <v>41579</v>
      </c>
    </row>
    <row r="5" spans="1:5" x14ac:dyDescent="0.25">
      <c r="A5" t="s">
        <v>24</v>
      </c>
      <c r="B5">
        <v>2</v>
      </c>
      <c r="C5" s="3">
        <v>41609</v>
      </c>
    </row>
    <row r="6" spans="1:5" x14ac:dyDescent="0.25">
      <c r="A6" t="s">
        <v>25</v>
      </c>
      <c r="B6">
        <v>3</v>
      </c>
      <c r="C6" s="3">
        <v>41671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37"/>
  <sheetViews>
    <sheetView workbookViewId="0"/>
  </sheetViews>
  <sheetFormatPr defaultRowHeight="15" x14ac:dyDescent="0.25"/>
  <cols>
    <col min="1" max="1" width="19.140625" customWidth="1"/>
    <col min="2" max="2" width="32" customWidth="1"/>
    <col min="3" max="3" width="9.7109375" customWidth="1"/>
    <col min="4" max="5" width="9.85546875" customWidth="1"/>
    <col min="6" max="6" width="10" customWidth="1"/>
    <col min="7" max="8" width="10.140625" customWidth="1"/>
    <col min="9" max="9" width="30.42578125" bestFit="1" customWidth="1"/>
    <col min="10" max="11" width="10.7109375" bestFit="1" customWidth="1"/>
  </cols>
  <sheetData>
    <row r="1" spans="1:11" x14ac:dyDescent="0.25">
      <c r="A1" s="7" t="s">
        <v>10</v>
      </c>
      <c r="B1" s="7" t="s">
        <v>0</v>
      </c>
      <c r="C1" s="7" t="s">
        <v>1</v>
      </c>
      <c r="D1" s="7" t="s">
        <v>2</v>
      </c>
      <c r="E1" s="7" t="s">
        <v>3</v>
      </c>
      <c r="F1" s="7" t="s">
        <v>4</v>
      </c>
      <c r="G1" s="7" t="s">
        <v>5</v>
      </c>
      <c r="H1" s="7" t="s">
        <v>12</v>
      </c>
      <c r="I1" s="7" t="s">
        <v>6</v>
      </c>
      <c r="K1" s="2"/>
    </row>
    <row r="2" spans="1:11" x14ac:dyDescent="0.25">
      <c r="A2" s="4" t="s">
        <v>40</v>
      </c>
      <c r="B2" s="4" t="s">
        <v>13</v>
      </c>
      <c r="D2">
        <v>1</v>
      </c>
      <c r="E2">
        <v>10</v>
      </c>
      <c r="F2">
        <v>10</v>
      </c>
      <c r="G2">
        <f>TableSched[[#This Row],[Curr Est]]-TableSched[[#This Row],[Elapsed]]</f>
        <v>0</v>
      </c>
      <c r="H2" s="1">
        <f>IF((TableSched[[#This Row],[Remain]]=0)*(TableSched[[#This Row],[Elapsed]]&gt;0),TableSched[[#This Row],[Orig Est]]/TableSched[[#This Row],[Elapsed]], 0 )</f>
        <v>0.1</v>
      </c>
      <c r="I2" s="4"/>
      <c r="K2" s="5"/>
    </row>
    <row r="3" spans="1:11" x14ac:dyDescent="0.25">
      <c r="A3" s="4" t="s">
        <v>40</v>
      </c>
      <c r="B3" s="4" t="s">
        <v>13</v>
      </c>
      <c r="D3">
        <v>2</v>
      </c>
      <c r="E3">
        <v>10</v>
      </c>
      <c r="F3">
        <v>10</v>
      </c>
      <c r="G3">
        <f>TableSched[[#This Row],[Curr Est]]-TableSched[[#This Row],[Elapsed]]</f>
        <v>0</v>
      </c>
      <c r="H3" s="1">
        <f>IF((TableSched[[#This Row],[Remain]]=0)*(TableSched[[#This Row],[Elapsed]]&gt;0),TableSched[[#This Row],[Orig Est]]/TableSched[[#This Row],[Elapsed]], 0 )</f>
        <v>0.2</v>
      </c>
      <c r="I3" s="4"/>
      <c r="K3" s="3"/>
    </row>
    <row r="4" spans="1:11" x14ac:dyDescent="0.25">
      <c r="A4" s="4" t="s">
        <v>40</v>
      </c>
      <c r="B4" s="4" t="s">
        <v>13</v>
      </c>
      <c r="D4">
        <v>6</v>
      </c>
      <c r="E4">
        <v>10</v>
      </c>
      <c r="F4">
        <v>10</v>
      </c>
      <c r="G4">
        <f>TableSched[[#This Row],[Curr Est]]-TableSched[[#This Row],[Elapsed]]</f>
        <v>0</v>
      </c>
      <c r="H4" s="1">
        <f>IF((TableSched[[#This Row],[Remain]]=0)*(TableSched[[#This Row],[Elapsed]]&gt;0),TableSched[[#This Row],[Orig Est]]/TableSched[[#This Row],[Elapsed]], 0 )</f>
        <v>0.6</v>
      </c>
      <c r="I4" s="4"/>
      <c r="K4" s="3"/>
    </row>
    <row r="5" spans="1:11" x14ac:dyDescent="0.25">
      <c r="A5" s="4" t="s">
        <v>40</v>
      </c>
      <c r="B5" s="4" t="s">
        <v>13</v>
      </c>
      <c r="D5">
        <v>6</v>
      </c>
      <c r="E5">
        <v>10</v>
      </c>
      <c r="F5">
        <v>10</v>
      </c>
      <c r="G5">
        <f>TableSched[[#This Row],[Curr Est]]-TableSched[[#This Row],[Elapsed]]</f>
        <v>0</v>
      </c>
      <c r="H5" s="1">
        <f>IF((TableSched[[#This Row],[Remain]]=0)*(TableSched[[#This Row],[Elapsed]]&gt;0),TableSched[[#This Row],[Orig Est]]/TableSched[[#This Row],[Elapsed]], 0 )</f>
        <v>0.6</v>
      </c>
      <c r="I5" s="4"/>
    </row>
    <row r="6" spans="1:11" x14ac:dyDescent="0.25">
      <c r="A6" s="4" t="s">
        <v>40</v>
      </c>
      <c r="B6" s="4" t="s">
        <v>13</v>
      </c>
      <c r="D6">
        <v>6</v>
      </c>
      <c r="E6">
        <v>10</v>
      </c>
      <c r="F6">
        <v>10</v>
      </c>
      <c r="G6">
        <f>TableSched[[#This Row],[Curr Est]]-TableSched[[#This Row],[Elapsed]]</f>
        <v>0</v>
      </c>
      <c r="H6" s="1">
        <f>IF((TableSched[[#This Row],[Remain]]=0)*(TableSched[[#This Row],[Elapsed]]&gt;0),TableSched[[#This Row],[Orig Est]]/TableSched[[#This Row],[Elapsed]], 0 )</f>
        <v>0.6</v>
      </c>
      <c r="I6" s="4"/>
    </row>
    <row r="7" spans="1:11" x14ac:dyDescent="0.25">
      <c r="A7" s="4" t="s">
        <v>40</v>
      </c>
      <c r="B7" s="4" t="s">
        <v>13</v>
      </c>
      <c r="D7">
        <v>6</v>
      </c>
      <c r="E7">
        <v>10</v>
      </c>
      <c r="F7">
        <v>10</v>
      </c>
      <c r="G7">
        <f>TableSched[[#This Row],[Curr Est]]-TableSched[[#This Row],[Elapsed]]</f>
        <v>0</v>
      </c>
      <c r="H7" s="1">
        <f>IF((TableSched[[#This Row],[Remain]]=0)*(TableSched[[#This Row],[Elapsed]]&gt;0),TableSched[[#This Row],[Orig Est]]/TableSched[[#This Row],[Elapsed]], 0 )</f>
        <v>0.6</v>
      </c>
      <c r="I7" s="4"/>
    </row>
    <row r="8" spans="1:11" x14ac:dyDescent="0.25">
      <c r="A8" s="4" t="s">
        <v>40</v>
      </c>
      <c r="B8" s="4" t="s">
        <v>13</v>
      </c>
      <c r="D8">
        <v>8</v>
      </c>
      <c r="E8">
        <v>10</v>
      </c>
      <c r="F8">
        <v>10</v>
      </c>
      <c r="G8">
        <f>TableSched[[#This Row],[Curr Est]]-TableSched[[#This Row],[Elapsed]]</f>
        <v>0</v>
      </c>
      <c r="H8" s="1">
        <f>IF((TableSched[[#This Row],[Remain]]=0)*(TableSched[[#This Row],[Elapsed]]&gt;0),TableSched[[#This Row],[Orig Est]]/TableSched[[#This Row],[Elapsed]], 0 )</f>
        <v>0.8</v>
      </c>
      <c r="I8" s="4"/>
    </row>
    <row r="9" spans="1:11" x14ac:dyDescent="0.25">
      <c r="A9" s="4" t="s">
        <v>40</v>
      </c>
      <c r="B9" s="4" t="s">
        <v>13</v>
      </c>
      <c r="D9">
        <v>8</v>
      </c>
      <c r="E9">
        <v>10</v>
      </c>
      <c r="F9">
        <v>10</v>
      </c>
      <c r="G9">
        <f>TableSched[[#This Row],[Curr Est]]-TableSched[[#This Row],[Elapsed]]</f>
        <v>0</v>
      </c>
      <c r="H9" s="1">
        <f>IF((TableSched[[#This Row],[Remain]]=0)*(TableSched[[#This Row],[Elapsed]]&gt;0),TableSched[[#This Row],[Orig Est]]/TableSched[[#This Row],[Elapsed]], 0 )</f>
        <v>0.8</v>
      </c>
      <c r="I9" s="4"/>
    </row>
    <row r="10" spans="1:11" x14ac:dyDescent="0.25">
      <c r="A10" s="4" t="s">
        <v>11</v>
      </c>
      <c r="B10" s="4" t="s">
        <v>26</v>
      </c>
      <c r="D10">
        <v>8</v>
      </c>
      <c r="E10">
        <v>8</v>
      </c>
      <c r="F10">
        <v>0</v>
      </c>
      <c r="G10">
        <f>TableSched[[#This Row],[Curr Est]]-TableSched[[#This Row],[Elapsed]]</f>
        <v>8</v>
      </c>
      <c r="H10">
        <f>IF((TableSched[[#This Row],[Remain]]=0)*(TableSched[[#This Row],[Elapsed]]&gt;0),TableSched[[#This Row],[Orig Est]]/TableSched[[#This Row],[Elapsed]], 0 )</f>
        <v>0</v>
      </c>
      <c r="I10" s="4"/>
    </row>
    <row r="11" spans="1:11" x14ac:dyDescent="0.25">
      <c r="A11" s="4" t="s">
        <v>11</v>
      </c>
      <c r="B11" s="4" t="s">
        <v>27</v>
      </c>
      <c r="D11">
        <v>40</v>
      </c>
      <c r="E11">
        <v>80</v>
      </c>
      <c r="F11">
        <v>20</v>
      </c>
      <c r="G11">
        <f>TableSched[[#This Row],[Curr Est]]-TableSched[[#This Row],[Elapsed]]</f>
        <v>60</v>
      </c>
      <c r="H11">
        <f>IF((TableSched[[#This Row],[Remain]]=0)*(TableSched[[#This Row],[Elapsed]]&gt;0),TableSched[[#This Row],[Orig Est]]/TableSched[[#This Row],[Elapsed]], 0 )</f>
        <v>0</v>
      </c>
      <c r="I11" s="4"/>
    </row>
    <row r="12" spans="1:11" x14ac:dyDescent="0.25">
      <c r="A12" s="4" t="s">
        <v>11</v>
      </c>
      <c r="B12" s="4" t="s">
        <v>28</v>
      </c>
      <c r="D12">
        <v>16</v>
      </c>
      <c r="E12">
        <v>16</v>
      </c>
      <c r="F12">
        <v>0</v>
      </c>
      <c r="G12">
        <f>TableSched[[#This Row],[Curr Est]]-TableSched[[#This Row],[Elapsed]]</f>
        <v>16</v>
      </c>
      <c r="H12">
        <f>IF((TableSched[[#This Row],[Remain]]=0)*(TableSched[[#This Row],[Elapsed]]&gt;0),TableSched[[#This Row],[Orig Est]]/TableSched[[#This Row],[Elapsed]], 0 )</f>
        <v>0</v>
      </c>
      <c r="I12" s="4"/>
    </row>
    <row r="13" spans="1:11" x14ac:dyDescent="0.25">
      <c r="A13" t="s">
        <v>22</v>
      </c>
      <c r="B13" s="4" t="s">
        <v>31</v>
      </c>
      <c r="D13">
        <v>8</v>
      </c>
      <c r="E13">
        <v>8</v>
      </c>
      <c r="F13">
        <v>0</v>
      </c>
      <c r="G13">
        <f>TableSched[[#This Row],[Curr Est]]-TableSched[[#This Row],[Elapsed]]</f>
        <v>8</v>
      </c>
      <c r="H13" s="1">
        <f>IF((TableSched[[#This Row],[Remain]]=0)*(TableSched[[#This Row],[Elapsed]]&gt;0),TableSched[[#This Row],[Orig Est]]/TableSched[[#This Row],[Elapsed]], 0 )</f>
        <v>0</v>
      </c>
      <c r="I13" s="4"/>
    </row>
    <row r="14" spans="1:11" x14ac:dyDescent="0.25">
      <c r="A14" s="4" t="s">
        <v>22</v>
      </c>
      <c r="B14" s="4" t="s">
        <v>32</v>
      </c>
      <c r="D14">
        <v>8</v>
      </c>
      <c r="E14">
        <v>8</v>
      </c>
      <c r="F14">
        <v>0</v>
      </c>
      <c r="G14" s="1">
        <f>TableSched[[#This Row],[Curr Est]]-TableSched[[#This Row],[Elapsed]]</f>
        <v>8</v>
      </c>
      <c r="H14" s="1">
        <f>IF((TableSched[[#This Row],[Remain]]=0)*(TableSched[[#This Row],[Elapsed]]&gt;0),TableSched[[#This Row],[Orig Est]]/TableSched[[#This Row],[Elapsed]], 0 )</f>
        <v>0</v>
      </c>
      <c r="I14" s="4"/>
    </row>
    <row r="15" spans="1:11" x14ac:dyDescent="0.25">
      <c r="A15" s="4" t="s">
        <v>22</v>
      </c>
      <c r="B15" s="4" t="s">
        <v>33</v>
      </c>
      <c r="D15">
        <v>8</v>
      </c>
      <c r="E15">
        <v>8</v>
      </c>
      <c r="F15">
        <v>0</v>
      </c>
      <c r="G15" s="1">
        <f>TableSched[[#This Row],[Curr Est]]-TableSched[[#This Row],[Elapsed]]</f>
        <v>8</v>
      </c>
      <c r="H15" s="1">
        <f>IF((TableSched[[#This Row],[Remain]]=0)*(TableSched[[#This Row],[Elapsed]]&gt;0),TableSched[[#This Row],[Orig Est]]/TableSched[[#This Row],[Elapsed]], 0 )</f>
        <v>0</v>
      </c>
      <c r="I15" s="4"/>
    </row>
    <row r="16" spans="1:11" x14ac:dyDescent="0.25">
      <c r="A16" s="4" t="s">
        <v>22</v>
      </c>
      <c r="B16" s="4" t="s">
        <v>29</v>
      </c>
      <c r="D16">
        <v>4</v>
      </c>
      <c r="E16">
        <v>4</v>
      </c>
      <c r="F16">
        <v>0</v>
      </c>
      <c r="G16" s="1">
        <f>TableSched[[#This Row],[Curr Est]]-TableSched[[#This Row],[Elapsed]]</f>
        <v>4</v>
      </c>
      <c r="H16" s="1">
        <f>IF((TableSched[[#This Row],[Remain]]=0)*(TableSched[[#This Row],[Elapsed]]&gt;0),TableSched[[#This Row],[Orig Est]]/TableSched[[#This Row],[Elapsed]], 0 )</f>
        <v>0</v>
      </c>
      <c r="I16" s="4"/>
    </row>
    <row r="17" spans="1:11" x14ac:dyDescent="0.25">
      <c r="A17" s="4" t="s">
        <v>22</v>
      </c>
      <c r="B17" s="4" t="s">
        <v>30</v>
      </c>
      <c r="D17">
        <v>8</v>
      </c>
      <c r="E17">
        <v>8</v>
      </c>
      <c r="F17">
        <v>0</v>
      </c>
      <c r="G17" s="1">
        <f>TableSched[[#This Row],[Curr Est]]-TableSched[[#This Row],[Elapsed]]</f>
        <v>8</v>
      </c>
      <c r="H17" s="1">
        <f>IF((TableSched[[#This Row],[Remain]]=0)*(TableSched[[#This Row],[Elapsed]]&gt;0),TableSched[[#This Row],[Orig Est]]/TableSched[[#This Row],[Elapsed]], 0 )</f>
        <v>0</v>
      </c>
      <c r="I17" s="4"/>
    </row>
    <row r="18" spans="1:11" x14ac:dyDescent="0.25">
      <c r="A18" s="4" t="s">
        <v>23</v>
      </c>
      <c r="B18" s="4" t="s">
        <v>37</v>
      </c>
      <c r="D18">
        <v>16</v>
      </c>
      <c r="E18">
        <v>50</v>
      </c>
      <c r="F18">
        <v>50</v>
      </c>
      <c r="G18" s="1">
        <f>TableSched[[#This Row],[Curr Est]]-TableSched[[#This Row],[Elapsed]]</f>
        <v>0</v>
      </c>
      <c r="H18" s="1">
        <f>IF((TableSched[[#This Row],[Remain]]=0)*(TableSched[[#This Row],[Elapsed]]&gt;0),TableSched[[#This Row],[Orig Est]]/TableSched[[#This Row],[Elapsed]], 0 )</f>
        <v>0.32</v>
      </c>
      <c r="I18" s="4"/>
    </row>
    <row r="19" spans="1:11" x14ac:dyDescent="0.25">
      <c r="A19" s="4" t="s">
        <v>23</v>
      </c>
      <c r="B19" s="4" t="s">
        <v>38</v>
      </c>
      <c r="D19">
        <v>8</v>
      </c>
      <c r="E19">
        <v>8</v>
      </c>
      <c r="F19">
        <v>0</v>
      </c>
      <c r="G19" s="1">
        <f>TableSched[[#This Row],[Curr Est]]-TableSched[[#This Row],[Elapsed]]</f>
        <v>8</v>
      </c>
      <c r="H19" s="1">
        <f>IF((TableSched[[#This Row],[Remain]]=0)*(TableSched[[#This Row],[Elapsed]]&gt;0),TableSched[[#This Row],[Orig Est]]/TableSched[[#This Row],[Elapsed]], 0 )</f>
        <v>0</v>
      </c>
      <c r="I19" s="4"/>
    </row>
    <row r="20" spans="1:11" x14ac:dyDescent="0.25">
      <c r="A20" s="4" t="s">
        <v>23</v>
      </c>
      <c r="B20" s="4" t="s">
        <v>39</v>
      </c>
      <c r="D20">
        <v>2</v>
      </c>
      <c r="E20">
        <v>2</v>
      </c>
      <c r="F20">
        <v>0</v>
      </c>
      <c r="G20" s="1">
        <f>TableSched[[#This Row],[Curr Est]]-TableSched[[#This Row],[Elapsed]]</f>
        <v>2</v>
      </c>
      <c r="H20" s="1">
        <f>IF((TableSched[[#This Row],[Remain]]=0)*(TableSched[[#This Row],[Elapsed]]&gt;0),TableSched[[#This Row],[Orig Est]]/TableSched[[#This Row],[Elapsed]], 0 )</f>
        <v>0</v>
      </c>
      <c r="I20" s="4"/>
    </row>
    <row r="21" spans="1:11" x14ac:dyDescent="0.25">
      <c r="A21" s="4" t="s">
        <v>23</v>
      </c>
      <c r="B21" s="4" t="s">
        <v>34</v>
      </c>
      <c r="D21">
        <v>3</v>
      </c>
      <c r="E21">
        <v>3</v>
      </c>
      <c r="F21">
        <v>0</v>
      </c>
      <c r="G21" s="1">
        <f>TableSched[[#This Row],[Curr Est]]-TableSched[[#This Row],[Elapsed]]</f>
        <v>3</v>
      </c>
      <c r="H21" s="1">
        <f>IF((TableSched[[#This Row],[Remain]]=0)*(TableSched[[#This Row],[Elapsed]]&gt;0),TableSched[[#This Row],[Orig Est]]/TableSched[[#This Row],[Elapsed]], 0 )</f>
        <v>0</v>
      </c>
      <c r="I21" s="4"/>
    </row>
    <row r="22" spans="1:11" x14ac:dyDescent="0.25">
      <c r="A22" s="4" t="s">
        <v>23</v>
      </c>
      <c r="B22" s="4" t="s">
        <v>29</v>
      </c>
      <c r="D22">
        <v>8</v>
      </c>
      <c r="E22">
        <v>8</v>
      </c>
      <c r="F22">
        <v>0</v>
      </c>
      <c r="G22" s="1">
        <f>TableSched[[#This Row],[Curr Est]]-TableSched[[#This Row],[Elapsed]]</f>
        <v>8</v>
      </c>
      <c r="H22" s="1">
        <f>IF((TableSched[[#This Row],[Remain]]=0)*(TableSched[[#This Row],[Elapsed]]&gt;0),TableSched[[#This Row],[Orig Est]]/TableSched[[#This Row],[Elapsed]], 0 )</f>
        <v>0</v>
      </c>
      <c r="I22" s="4"/>
    </row>
    <row r="23" spans="1:11" x14ac:dyDescent="0.25">
      <c r="A23" s="4" t="s">
        <v>23</v>
      </c>
      <c r="B23" s="4" t="s">
        <v>30</v>
      </c>
      <c r="D23">
        <v>8</v>
      </c>
      <c r="E23">
        <v>8</v>
      </c>
      <c r="F23">
        <v>0</v>
      </c>
      <c r="G23" s="1">
        <f>TableSched[[#This Row],[Curr Est]]-TableSched[[#This Row],[Elapsed]]</f>
        <v>8</v>
      </c>
      <c r="H23" s="1">
        <f>IF((TableSched[[#This Row],[Remain]]=0)*(TableSched[[#This Row],[Elapsed]]&gt;0),TableSched[[#This Row],[Orig Est]]/TableSched[[#This Row],[Elapsed]], 0 )</f>
        <v>0</v>
      </c>
      <c r="I23" s="4"/>
    </row>
    <row r="24" spans="1:11" x14ac:dyDescent="0.25">
      <c r="A24" s="4" t="s">
        <v>24</v>
      </c>
      <c r="B24" s="4" t="s">
        <v>36</v>
      </c>
      <c r="D24">
        <v>2</v>
      </c>
      <c r="E24">
        <v>16</v>
      </c>
      <c r="F24">
        <v>16</v>
      </c>
      <c r="G24" s="1">
        <f>TableSched[[#This Row],[Curr Est]]-TableSched[[#This Row],[Elapsed]]</f>
        <v>0</v>
      </c>
      <c r="H24" s="1">
        <f>IF((TableSched[[#This Row],[Remain]]=0)*(TableSched[[#This Row],[Elapsed]]&gt;0),TableSched[[#This Row],[Orig Est]]/TableSched[[#This Row],[Elapsed]], 0 )</f>
        <v>0.125</v>
      </c>
      <c r="I24" s="4" t="s">
        <v>35</v>
      </c>
    </row>
    <row r="25" spans="1:11" x14ac:dyDescent="0.25">
      <c r="A25" s="4" t="s">
        <v>24</v>
      </c>
      <c r="B25" s="4" t="s">
        <v>31</v>
      </c>
      <c r="D25">
        <v>8</v>
      </c>
      <c r="E25">
        <v>8</v>
      </c>
      <c r="F25">
        <v>0</v>
      </c>
      <c r="G25">
        <f>TableSched[[#This Row],[Curr Est]]-TableSched[[#This Row],[Elapsed]]</f>
        <v>8</v>
      </c>
      <c r="H25" s="1">
        <f>IF((TableSched[[#This Row],[Remain]]=0)*(TableSched[[#This Row],[Elapsed]]&gt;0),TableSched[[#This Row],[Orig Est]]/TableSched[[#This Row],[Elapsed]], 0 )</f>
        <v>0</v>
      </c>
      <c r="I25" s="4"/>
    </row>
    <row r="26" spans="1:11" x14ac:dyDescent="0.25">
      <c r="A26" s="4" t="s">
        <v>24</v>
      </c>
      <c r="B26" s="4" t="s">
        <v>32</v>
      </c>
      <c r="D26">
        <v>8</v>
      </c>
      <c r="E26">
        <v>8</v>
      </c>
      <c r="F26">
        <v>0</v>
      </c>
      <c r="G26" s="1">
        <f>TableSched[[#This Row],[Curr Est]]-TableSched[[#This Row],[Elapsed]]</f>
        <v>8</v>
      </c>
      <c r="H26" s="1">
        <f>IF((TableSched[[#This Row],[Remain]]=0)*(TableSched[[#This Row],[Elapsed]]&gt;0),TableSched[[#This Row],[Orig Est]]/TableSched[[#This Row],[Elapsed]], 0 )</f>
        <v>0</v>
      </c>
      <c r="I26" s="4"/>
    </row>
    <row r="27" spans="1:11" x14ac:dyDescent="0.25">
      <c r="A27" s="4" t="s">
        <v>24</v>
      </c>
      <c r="B27" s="4" t="s">
        <v>33</v>
      </c>
      <c r="D27">
        <v>8</v>
      </c>
      <c r="E27">
        <v>8</v>
      </c>
      <c r="F27">
        <v>0</v>
      </c>
      <c r="G27" s="1">
        <f>TableSched[[#This Row],[Curr Est]]-TableSched[[#This Row],[Elapsed]]</f>
        <v>8</v>
      </c>
      <c r="H27" s="1">
        <f>IF((TableSched[[#This Row],[Remain]]=0)*(TableSched[[#This Row],[Elapsed]]&gt;0),TableSched[[#This Row],[Orig Est]]/TableSched[[#This Row],[Elapsed]], 0 )</f>
        <v>0</v>
      </c>
      <c r="I27" s="4"/>
    </row>
    <row r="28" spans="1:11" x14ac:dyDescent="0.25">
      <c r="A28" s="4" t="s">
        <v>24</v>
      </c>
      <c r="B28" s="4" t="s">
        <v>29</v>
      </c>
      <c r="D28">
        <v>4</v>
      </c>
      <c r="E28">
        <v>4</v>
      </c>
      <c r="F28">
        <v>0</v>
      </c>
      <c r="G28" s="1">
        <f>TableSched[[#This Row],[Curr Est]]-TableSched[[#This Row],[Elapsed]]</f>
        <v>4</v>
      </c>
      <c r="H28" s="1">
        <f>IF((TableSched[[#This Row],[Remain]]=0)*(TableSched[[#This Row],[Elapsed]]&gt;0),TableSched[[#This Row],[Orig Est]]/TableSched[[#This Row],[Elapsed]], 0 )</f>
        <v>0</v>
      </c>
      <c r="I28" s="4"/>
    </row>
    <row r="29" spans="1:11" x14ac:dyDescent="0.25">
      <c r="A29" s="4" t="s">
        <v>24</v>
      </c>
      <c r="B29" s="4" t="s">
        <v>30</v>
      </c>
      <c r="D29">
        <v>8</v>
      </c>
      <c r="E29">
        <v>8</v>
      </c>
      <c r="F29">
        <v>0</v>
      </c>
      <c r="G29" s="1">
        <f>TableSched[[#This Row],[Curr Est]]-TableSched[[#This Row],[Elapsed]]</f>
        <v>8</v>
      </c>
      <c r="H29" s="1">
        <f>IF((TableSched[[#This Row],[Remain]]=0)*(TableSched[[#This Row],[Elapsed]]&gt;0),TableSched[[#This Row],[Orig Est]]/TableSched[[#This Row],[Elapsed]], 0 )</f>
        <v>0</v>
      </c>
      <c r="I29" s="4"/>
    </row>
    <row r="30" spans="1:11" x14ac:dyDescent="0.25">
      <c r="A30" s="4"/>
      <c r="D30">
        <f>SUM(TableSched[Orig Est])</f>
        <v>226</v>
      </c>
      <c r="E30">
        <f>SUM(TableSched[Curr Est])</f>
        <v>351</v>
      </c>
      <c r="F30">
        <f>SUM(TableSched[Elapsed])</f>
        <v>166</v>
      </c>
      <c r="G30" s="1">
        <f>SUM(TableSched[Remain])</f>
        <v>185</v>
      </c>
      <c r="H30" s="1"/>
    </row>
    <row r="31" spans="1:11" x14ac:dyDescent="0.25">
      <c r="A31" s="4"/>
      <c r="K31" s="2"/>
    </row>
    <row r="32" spans="1:11" x14ac:dyDescent="0.25">
      <c r="A32" s="4"/>
      <c r="K32" s="2"/>
    </row>
    <row r="33" spans="1:1" x14ac:dyDescent="0.25">
      <c r="A33" s="4"/>
    </row>
    <row r="34" spans="1:1" x14ac:dyDescent="0.25">
      <c r="A34" s="4"/>
    </row>
    <row r="35" spans="1:1" x14ac:dyDescent="0.25">
      <c r="A35" s="4"/>
    </row>
    <row r="36" spans="1:1" x14ac:dyDescent="0.25">
      <c r="A36" s="4"/>
    </row>
    <row r="37" spans="1:1" x14ac:dyDescent="0.25">
      <c r="A37"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01"/>
  <sheetViews>
    <sheetView workbookViewId="0">
      <selection activeCell="L2" sqref="L2"/>
    </sheetView>
  </sheetViews>
  <sheetFormatPr defaultRowHeight="15" x14ac:dyDescent="0.25"/>
  <cols>
    <col min="2" max="2" width="10.7109375" bestFit="1" customWidth="1"/>
    <col min="3" max="3" width="13.28515625" customWidth="1"/>
    <col min="5" max="5" width="9.42578125" bestFit="1" customWidth="1"/>
    <col min="8" max="9" width="10.7109375" bestFit="1" customWidth="1"/>
  </cols>
  <sheetData>
    <row r="1" spans="1:10" x14ac:dyDescent="0.25">
      <c r="A1" s="7" t="s">
        <v>14</v>
      </c>
      <c r="B1" s="7" t="s">
        <v>15</v>
      </c>
      <c r="C1" s="7" t="s">
        <v>16</v>
      </c>
      <c r="D1" s="3"/>
      <c r="E1" s="6" t="s">
        <v>18</v>
      </c>
      <c r="F1" s="3">
        <v>41518</v>
      </c>
      <c r="H1" s="6" t="s">
        <v>41</v>
      </c>
      <c r="I1" s="3">
        <v>41744</v>
      </c>
      <c r="J1" s="9">
        <v>0.95</v>
      </c>
    </row>
    <row r="2" spans="1:10" x14ac:dyDescent="0.25">
      <c r="A2">
        <v>766.66666666666674</v>
      </c>
      <c r="B2" s="3">
        <f t="shared" ref="B2:B33" si="0">WORKDAY($F$1,$A2/8)</f>
        <v>41649</v>
      </c>
      <c r="C2" s="9">
        <f t="shared" ref="C2:C33" si="1">FREQUENCY($B$2:$B$101,B2)/100</f>
        <v>0.76</v>
      </c>
      <c r="E2" s="8" t="s">
        <v>19</v>
      </c>
      <c r="F2">
        <f>AVERAGE(A2:A101)</f>
        <v>682.79166666666674</v>
      </c>
      <c r="H2" s="6" t="s">
        <v>21</v>
      </c>
      <c r="I2" s="3">
        <f ca="1">WORKDAY(MIN(TODAY(),I1),TableSched[[#Totals],[Remain]]/8)</f>
        <v>41592</v>
      </c>
      <c r="J2" s="9">
        <v>0.95</v>
      </c>
    </row>
    <row r="3" spans="1:10" x14ac:dyDescent="0.25">
      <c r="A3">
        <v>885.00000000000023</v>
      </c>
      <c r="B3" s="3">
        <f t="shared" si="0"/>
        <v>41670</v>
      </c>
      <c r="C3" s="9">
        <f t="shared" si="1"/>
        <v>0.86</v>
      </c>
      <c r="E3" s="6" t="s">
        <v>20</v>
      </c>
      <c r="F3">
        <f>_xlfn.STDEV.P(A2:A101)</f>
        <v>170.86452459152815</v>
      </c>
      <c r="H3" s="6" t="s">
        <v>17</v>
      </c>
      <c r="I3" s="11" t="s">
        <v>42</v>
      </c>
      <c r="J3" s="10" t="s">
        <v>43</v>
      </c>
    </row>
    <row r="4" spans="1:10" x14ac:dyDescent="0.25">
      <c r="A4">
        <v>602.91666666666674</v>
      </c>
      <c r="B4" s="3">
        <f t="shared" si="0"/>
        <v>41621</v>
      </c>
      <c r="C4" s="9">
        <f t="shared" si="1"/>
        <v>0.38</v>
      </c>
    </row>
    <row r="5" spans="1:10" x14ac:dyDescent="0.25">
      <c r="A5">
        <v>635.83333333333337</v>
      </c>
      <c r="B5" s="3">
        <f t="shared" si="0"/>
        <v>41627</v>
      </c>
      <c r="C5" s="9">
        <f t="shared" si="1"/>
        <v>0.49</v>
      </c>
    </row>
    <row r="6" spans="1:10" x14ac:dyDescent="0.25">
      <c r="A6">
        <v>676.66666666666663</v>
      </c>
      <c r="B6" s="3">
        <f t="shared" si="0"/>
        <v>41634</v>
      </c>
      <c r="C6" s="9">
        <f t="shared" si="1"/>
        <v>0.52</v>
      </c>
    </row>
    <row r="7" spans="1:10" x14ac:dyDescent="0.25">
      <c r="A7">
        <v>791.66666666666686</v>
      </c>
      <c r="B7" s="3">
        <f t="shared" si="0"/>
        <v>41654</v>
      </c>
      <c r="C7" s="9">
        <f t="shared" si="1"/>
        <v>0.78</v>
      </c>
    </row>
    <row r="8" spans="1:10" x14ac:dyDescent="0.25">
      <c r="A8">
        <v>585</v>
      </c>
      <c r="B8" s="3">
        <f t="shared" si="0"/>
        <v>41619</v>
      </c>
      <c r="C8" s="9">
        <f t="shared" si="1"/>
        <v>0.3</v>
      </c>
    </row>
    <row r="9" spans="1:10" x14ac:dyDescent="0.25">
      <c r="A9">
        <v>699.16666666666674</v>
      </c>
      <c r="B9" s="3">
        <f t="shared" si="0"/>
        <v>41639</v>
      </c>
      <c r="C9" s="9">
        <f t="shared" si="1"/>
        <v>0.62</v>
      </c>
    </row>
    <row r="10" spans="1:10" x14ac:dyDescent="0.25">
      <c r="A10">
        <v>494.16666666666663</v>
      </c>
      <c r="B10" s="3">
        <f t="shared" si="0"/>
        <v>41603</v>
      </c>
      <c r="C10" s="9">
        <f t="shared" si="1"/>
        <v>0.11</v>
      </c>
    </row>
    <row r="11" spans="1:10" x14ac:dyDescent="0.25">
      <c r="A11">
        <v>442.49999999999989</v>
      </c>
      <c r="B11" s="3">
        <f t="shared" si="0"/>
        <v>41593</v>
      </c>
      <c r="C11" s="9">
        <f t="shared" si="1"/>
        <v>0.08</v>
      </c>
    </row>
    <row r="12" spans="1:10" x14ac:dyDescent="0.25">
      <c r="A12">
        <v>600.83333333333337</v>
      </c>
      <c r="B12" s="3">
        <f t="shared" si="0"/>
        <v>41621</v>
      </c>
      <c r="C12" s="9">
        <f t="shared" si="1"/>
        <v>0.38</v>
      </c>
    </row>
    <row r="13" spans="1:10" x14ac:dyDescent="0.25">
      <c r="A13">
        <v>444.16666666666663</v>
      </c>
      <c r="B13" s="3">
        <f t="shared" si="0"/>
        <v>41593</v>
      </c>
      <c r="C13" s="9">
        <f t="shared" si="1"/>
        <v>0.08</v>
      </c>
    </row>
    <row r="14" spans="1:10" x14ac:dyDescent="0.25">
      <c r="A14">
        <v>421.24999999999994</v>
      </c>
      <c r="B14" s="3">
        <f t="shared" si="0"/>
        <v>41590</v>
      </c>
      <c r="C14" s="9">
        <f t="shared" si="1"/>
        <v>0.05</v>
      </c>
    </row>
    <row r="15" spans="1:10" x14ac:dyDescent="0.25">
      <c r="A15">
        <v>725.00000000000011</v>
      </c>
      <c r="B15" s="3">
        <f t="shared" si="0"/>
        <v>41642</v>
      </c>
      <c r="C15" s="9">
        <f t="shared" si="1"/>
        <v>0.66</v>
      </c>
    </row>
    <row r="16" spans="1:10" x14ac:dyDescent="0.25">
      <c r="A16">
        <v>694.58333333333314</v>
      </c>
      <c r="B16" s="3">
        <f t="shared" si="0"/>
        <v>41638</v>
      </c>
      <c r="C16" s="9">
        <f t="shared" si="1"/>
        <v>0.57999999999999996</v>
      </c>
    </row>
    <row r="17" spans="1:3" x14ac:dyDescent="0.25">
      <c r="A17">
        <v>456.66666666666663</v>
      </c>
      <c r="B17" s="3">
        <f t="shared" si="0"/>
        <v>41597</v>
      </c>
      <c r="C17" s="9">
        <f t="shared" si="1"/>
        <v>0.1</v>
      </c>
    </row>
    <row r="18" spans="1:3" x14ac:dyDescent="0.25">
      <c r="A18">
        <v>755.41666666666686</v>
      </c>
      <c r="B18" s="3">
        <f t="shared" si="0"/>
        <v>41648</v>
      </c>
      <c r="C18" s="9">
        <f t="shared" si="1"/>
        <v>0.73</v>
      </c>
    </row>
    <row r="19" spans="1:3" x14ac:dyDescent="0.25">
      <c r="A19">
        <v>587.49999999999989</v>
      </c>
      <c r="B19" s="3">
        <f t="shared" si="0"/>
        <v>41619</v>
      </c>
      <c r="C19" s="9">
        <f t="shared" si="1"/>
        <v>0.3</v>
      </c>
    </row>
    <row r="20" spans="1:3" x14ac:dyDescent="0.25">
      <c r="A20">
        <v>688.33333333333348</v>
      </c>
      <c r="B20" s="3">
        <f t="shared" si="0"/>
        <v>41638</v>
      </c>
      <c r="C20" s="9">
        <f t="shared" si="1"/>
        <v>0.57999999999999996</v>
      </c>
    </row>
    <row r="21" spans="1:3" x14ac:dyDescent="0.25">
      <c r="A21">
        <v>509.16666666666663</v>
      </c>
      <c r="B21" s="3">
        <f t="shared" si="0"/>
        <v>41605</v>
      </c>
      <c r="C21" s="9">
        <f t="shared" si="1"/>
        <v>0.17</v>
      </c>
    </row>
    <row r="22" spans="1:3" x14ac:dyDescent="0.25">
      <c r="A22">
        <v>688.33333333333337</v>
      </c>
      <c r="B22" s="3">
        <f t="shared" si="0"/>
        <v>41638</v>
      </c>
      <c r="C22" s="9">
        <f t="shared" si="1"/>
        <v>0.57999999999999996</v>
      </c>
    </row>
    <row r="23" spans="1:3" x14ac:dyDescent="0.25">
      <c r="A23">
        <v>872.5</v>
      </c>
      <c r="B23" s="3">
        <f t="shared" si="0"/>
        <v>41669</v>
      </c>
      <c r="C23" s="9">
        <f t="shared" si="1"/>
        <v>0.84</v>
      </c>
    </row>
    <row r="24" spans="1:3" x14ac:dyDescent="0.25">
      <c r="A24">
        <v>709.5833333333336</v>
      </c>
      <c r="B24" s="3">
        <f t="shared" si="0"/>
        <v>41640</v>
      </c>
      <c r="C24" s="9">
        <f t="shared" si="1"/>
        <v>0.63</v>
      </c>
    </row>
    <row r="25" spans="1:3" x14ac:dyDescent="0.25">
      <c r="A25">
        <v>625.41666666666674</v>
      </c>
      <c r="B25" s="3">
        <f t="shared" si="0"/>
        <v>41626</v>
      </c>
      <c r="C25" s="9">
        <f t="shared" si="1"/>
        <v>0.48</v>
      </c>
    </row>
    <row r="26" spans="1:3" x14ac:dyDescent="0.25">
      <c r="A26">
        <v>929.16666666666674</v>
      </c>
      <c r="B26" s="3">
        <f t="shared" si="0"/>
        <v>41680</v>
      </c>
      <c r="C26" s="9">
        <f t="shared" si="1"/>
        <v>0.9</v>
      </c>
    </row>
    <row r="27" spans="1:3" x14ac:dyDescent="0.25">
      <c r="A27">
        <v>394.58333333333326</v>
      </c>
      <c r="B27" s="3">
        <f t="shared" si="0"/>
        <v>41585</v>
      </c>
      <c r="C27" s="9">
        <f t="shared" si="1"/>
        <v>0.02</v>
      </c>
    </row>
    <row r="28" spans="1:3" x14ac:dyDescent="0.25">
      <c r="A28">
        <v>608.33333333333326</v>
      </c>
      <c r="B28" s="3">
        <f t="shared" si="0"/>
        <v>41624</v>
      </c>
      <c r="C28" s="9">
        <f t="shared" si="1"/>
        <v>0.42</v>
      </c>
    </row>
    <row r="29" spans="1:3" x14ac:dyDescent="0.25">
      <c r="A29">
        <v>534.16666666666663</v>
      </c>
      <c r="B29" s="3">
        <f t="shared" si="0"/>
        <v>41610</v>
      </c>
      <c r="C29" s="9">
        <f t="shared" si="1"/>
        <v>0.22</v>
      </c>
    </row>
    <row r="30" spans="1:3" x14ac:dyDescent="0.25">
      <c r="A30">
        <v>1152.0833333333335</v>
      </c>
      <c r="B30" s="3">
        <f t="shared" si="0"/>
        <v>41718</v>
      </c>
      <c r="C30" s="9">
        <f t="shared" si="1"/>
        <v>0.99</v>
      </c>
    </row>
    <row r="31" spans="1:3" x14ac:dyDescent="0.25">
      <c r="A31">
        <v>724.58333333333337</v>
      </c>
      <c r="B31" s="3">
        <f t="shared" si="0"/>
        <v>41642</v>
      </c>
      <c r="C31" s="9">
        <f t="shared" si="1"/>
        <v>0.66</v>
      </c>
    </row>
    <row r="32" spans="1:3" x14ac:dyDescent="0.25">
      <c r="A32">
        <v>657.08333333333348</v>
      </c>
      <c r="B32" s="3">
        <f t="shared" si="0"/>
        <v>41632</v>
      </c>
      <c r="C32" s="9">
        <f t="shared" si="1"/>
        <v>0.5</v>
      </c>
    </row>
    <row r="33" spans="1:3" x14ac:dyDescent="0.25">
      <c r="A33">
        <v>570.83333333333337</v>
      </c>
      <c r="B33" s="3">
        <f t="shared" si="0"/>
        <v>41617</v>
      </c>
      <c r="C33" s="9">
        <f t="shared" si="1"/>
        <v>0.25</v>
      </c>
    </row>
    <row r="34" spans="1:3" x14ac:dyDescent="0.25">
      <c r="A34">
        <v>463.33333333333331</v>
      </c>
      <c r="B34" s="3">
        <f t="shared" ref="B34:B65" si="2">WORKDAY($F$1,$A34/8)</f>
        <v>41597</v>
      </c>
      <c r="C34" s="9">
        <f t="shared" ref="C34:C65" si="3">FREQUENCY($B$2:$B$101,B34)/100</f>
        <v>0.1</v>
      </c>
    </row>
    <row r="35" spans="1:3" x14ac:dyDescent="0.25">
      <c r="A35">
        <v>596.66666666666663</v>
      </c>
      <c r="B35" s="3">
        <f t="shared" si="2"/>
        <v>41620</v>
      </c>
      <c r="C35" s="9">
        <f t="shared" si="3"/>
        <v>0.33</v>
      </c>
    </row>
    <row r="36" spans="1:3" x14ac:dyDescent="0.25">
      <c r="A36">
        <v>608.33333333333337</v>
      </c>
      <c r="B36" s="3">
        <f t="shared" si="2"/>
        <v>41624</v>
      </c>
      <c r="C36" s="9">
        <f t="shared" si="3"/>
        <v>0.42</v>
      </c>
    </row>
    <row r="37" spans="1:3" x14ac:dyDescent="0.25">
      <c r="A37">
        <v>605.83333333333348</v>
      </c>
      <c r="B37" s="3">
        <f t="shared" si="2"/>
        <v>41621</v>
      </c>
      <c r="C37" s="9">
        <f t="shared" si="3"/>
        <v>0.38</v>
      </c>
    </row>
    <row r="38" spans="1:3" x14ac:dyDescent="0.25">
      <c r="A38">
        <v>594.16666666666674</v>
      </c>
      <c r="B38" s="3">
        <f t="shared" si="2"/>
        <v>41620</v>
      </c>
      <c r="C38" s="9">
        <f t="shared" si="3"/>
        <v>0.33</v>
      </c>
    </row>
    <row r="39" spans="1:3" x14ac:dyDescent="0.25">
      <c r="A39">
        <v>730.00000000000011</v>
      </c>
      <c r="B39" s="3">
        <f t="shared" si="2"/>
        <v>41645</v>
      </c>
      <c r="C39" s="9">
        <f t="shared" si="3"/>
        <v>0.67</v>
      </c>
    </row>
    <row r="40" spans="1:3" x14ac:dyDescent="0.25">
      <c r="A40">
        <v>755.41666666666697</v>
      </c>
      <c r="B40" s="3">
        <f t="shared" si="2"/>
        <v>41648</v>
      </c>
      <c r="C40" s="9">
        <f t="shared" si="3"/>
        <v>0.73</v>
      </c>
    </row>
    <row r="41" spans="1:3" x14ac:dyDescent="0.25">
      <c r="A41">
        <v>534.99999999999989</v>
      </c>
      <c r="B41" s="3">
        <f t="shared" si="2"/>
        <v>41610</v>
      </c>
      <c r="C41" s="9">
        <f t="shared" si="3"/>
        <v>0.22</v>
      </c>
    </row>
    <row r="42" spans="1:3" x14ac:dyDescent="0.25">
      <c r="A42">
        <v>762.5</v>
      </c>
      <c r="B42" s="3">
        <f t="shared" si="2"/>
        <v>41649</v>
      </c>
      <c r="C42" s="9">
        <f t="shared" si="3"/>
        <v>0.76</v>
      </c>
    </row>
    <row r="43" spans="1:3" x14ac:dyDescent="0.25">
      <c r="A43">
        <v>700.41666666666663</v>
      </c>
      <c r="B43" s="3">
        <f t="shared" si="2"/>
        <v>41639</v>
      </c>
      <c r="C43" s="9">
        <f t="shared" si="3"/>
        <v>0.62</v>
      </c>
    </row>
    <row r="44" spans="1:3" x14ac:dyDescent="0.25">
      <c r="A44">
        <v>507.49999999999989</v>
      </c>
      <c r="B44" s="3">
        <f t="shared" si="2"/>
        <v>41605</v>
      </c>
      <c r="C44" s="9">
        <f t="shared" si="3"/>
        <v>0.17</v>
      </c>
    </row>
    <row r="45" spans="1:3" x14ac:dyDescent="0.25">
      <c r="A45">
        <v>441.66666666666663</v>
      </c>
      <c r="B45" s="3">
        <f t="shared" si="2"/>
        <v>41593</v>
      </c>
      <c r="C45" s="9">
        <f t="shared" si="3"/>
        <v>0.08</v>
      </c>
    </row>
    <row r="46" spans="1:3" x14ac:dyDescent="0.25">
      <c r="A46">
        <v>767.50000000000023</v>
      </c>
      <c r="B46" s="3">
        <f t="shared" si="2"/>
        <v>41649</v>
      </c>
      <c r="C46" s="9">
        <f t="shared" si="3"/>
        <v>0.76</v>
      </c>
    </row>
    <row r="47" spans="1:3" x14ac:dyDescent="0.25">
      <c r="A47">
        <v>530.83333333333326</v>
      </c>
      <c r="B47" s="3">
        <f t="shared" si="2"/>
        <v>41610</v>
      </c>
      <c r="C47" s="9">
        <f t="shared" si="3"/>
        <v>0.22</v>
      </c>
    </row>
    <row r="48" spans="1:3" x14ac:dyDescent="0.25">
      <c r="A48">
        <v>859.58333333333337</v>
      </c>
      <c r="B48" s="3">
        <f t="shared" si="2"/>
        <v>41667</v>
      </c>
      <c r="C48" s="9">
        <f t="shared" si="3"/>
        <v>0.83</v>
      </c>
    </row>
    <row r="49" spans="1:3" x14ac:dyDescent="0.25">
      <c r="A49">
        <v>505.83333333333314</v>
      </c>
      <c r="B49" s="3">
        <f t="shared" si="2"/>
        <v>41605</v>
      </c>
      <c r="C49" s="9">
        <f t="shared" si="3"/>
        <v>0.17</v>
      </c>
    </row>
    <row r="50" spans="1:3" x14ac:dyDescent="0.25">
      <c r="A50">
        <v>694.16666666666663</v>
      </c>
      <c r="B50" s="3">
        <f t="shared" si="2"/>
        <v>41638</v>
      </c>
      <c r="C50" s="9">
        <f t="shared" si="3"/>
        <v>0.57999999999999996</v>
      </c>
    </row>
    <row r="51" spans="1:3" x14ac:dyDescent="0.25">
      <c r="A51">
        <v>742.08333333333326</v>
      </c>
      <c r="B51" s="3">
        <f t="shared" si="2"/>
        <v>41646</v>
      </c>
      <c r="C51" s="9">
        <f t="shared" si="3"/>
        <v>0.69</v>
      </c>
    </row>
    <row r="52" spans="1:3" x14ac:dyDescent="0.25">
      <c r="A52">
        <v>418.33333333333326</v>
      </c>
      <c r="B52" s="3">
        <f t="shared" si="2"/>
        <v>41590</v>
      </c>
      <c r="C52" s="9">
        <f t="shared" si="3"/>
        <v>0.05</v>
      </c>
    </row>
    <row r="53" spans="1:3" x14ac:dyDescent="0.25">
      <c r="A53">
        <v>534.16666666666652</v>
      </c>
      <c r="B53" s="3">
        <f t="shared" si="2"/>
        <v>41610</v>
      </c>
      <c r="C53" s="9">
        <f t="shared" si="3"/>
        <v>0.22</v>
      </c>
    </row>
    <row r="54" spans="1:3" x14ac:dyDescent="0.25">
      <c r="A54">
        <v>505.83333333333331</v>
      </c>
      <c r="B54" s="3">
        <f t="shared" si="2"/>
        <v>41605</v>
      </c>
      <c r="C54" s="9">
        <f t="shared" si="3"/>
        <v>0.17</v>
      </c>
    </row>
    <row r="55" spans="1:3" x14ac:dyDescent="0.25">
      <c r="A55">
        <v>963.75000000000011</v>
      </c>
      <c r="B55" s="3">
        <f t="shared" si="2"/>
        <v>41684</v>
      </c>
      <c r="C55" s="9">
        <f t="shared" si="3"/>
        <v>0.93</v>
      </c>
    </row>
    <row r="56" spans="1:3" x14ac:dyDescent="0.25">
      <c r="A56">
        <v>611.66666666666663</v>
      </c>
      <c r="B56" s="3">
        <f t="shared" si="2"/>
        <v>41624</v>
      </c>
      <c r="C56" s="9">
        <f t="shared" si="3"/>
        <v>0.42</v>
      </c>
    </row>
    <row r="57" spans="1:3" x14ac:dyDescent="0.25">
      <c r="A57">
        <v>1017.5000000000001</v>
      </c>
      <c r="B57" s="3">
        <f t="shared" si="2"/>
        <v>41695</v>
      </c>
      <c r="C57" s="9">
        <f t="shared" si="3"/>
        <v>0.97</v>
      </c>
    </row>
    <row r="58" spans="1:3" x14ac:dyDescent="0.25">
      <c r="A58">
        <v>682.5</v>
      </c>
      <c r="B58" s="3">
        <f t="shared" si="2"/>
        <v>41635</v>
      </c>
      <c r="C58" s="9">
        <f t="shared" si="3"/>
        <v>0.53</v>
      </c>
    </row>
    <row r="59" spans="1:3" x14ac:dyDescent="0.25">
      <c r="A59">
        <v>625.83333333333348</v>
      </c>
      <c r="B59" s="3">
        <f t="shared" si="2"/>
        <v>41626</v>
      </c>
      <c r="C59" s="9">
        <f t="shared" si="3"/>
        <v>0.48</v>
      </c>
    </row>
    <row r="60" spans="1:3" x14ac:dyDescent="0.25">
      <c r="A60">
        <v>622.49999999999989</v>
      </c>
      <c r="B60" s="3">
        <f t="shared" si="2"/>
        <v>41625</v>
      </c>
      <c r="C60" s="9">
        <f t="shared" si="3"/>
        <v>0.45</v>
      </c>
    </row>
    <row r="61" spans="1:3" x14ac:dyDescent="0.25">
      <c r="A61">
        <v>607.0833333333336</v>
      </c>
      <c r="B61" s="3">
        <f t="shared" si="2"/>
        <v>41621</v>
      </c>
      <c r="C61" s="9">
        <f t="shared" si="3"/>
        <v>0.38</v>
      </c>
    </row>
    <row r="62" spans="1:3" x14ac:dyDescent="0.25">
      <c r="A62">
        <v>611.66666666666663</v>
      </c>
      <c r="B62" s="3">
        <f t="shared" si="2"/>
        <v>41624</v>
      </c>
      <c r="C62" s="9">
        <f t="shared" si="3"/>
        <v>0.42</v>
      </c>
    </row>
    <row r="63" spans="1:3" x14ac:dyDescent="0.25">
      <c r="A63">
        <v>742.91666666666674</v>
      </c>
      <c r="B63" s="3">
        <f t="shared" si="2"/>
        <v>41646</v>
      </c>
      <c r="C63" s="9">
        <f t="shared" si="3"/>
        <v>0.69</v>
      </c>
    </row>
    <row r="64" spans="1:3" x14ac:dyDescent="0.25">
      <c r="A64">
        <v>590.83333333333326</v>
      </c>
      <c r="B64" s="3">
        <f t="shared" si="2"/>
        <v>41619</v>
      </c>
      <c r="C64" s="9">
        <f t="shared" si="3"/>
        <v>0.3</v>
      </c>
    </row>
    <row r="65" spans="1:3" x14ac:dyDescent="0.25">
      <c r="A65">
        <v>577.5</v>
      </c>
      <c r="B65" s="3">
        <f t="shared" si="2"/>
        <v>41618</v>
      </c>
      <c r="C65" s="9">
        <f t="shared" si="3"/>
        <v>0.26</v>
      </c>
    </row>
    <row r="66" spans="1:3" x14ac:dyDescent="0.25">
      <c r="A66">
        <v>620.41666666666674</v>
      </c>
      <c r="B66" s="3">
        <f t="shared" ref="B66:B101" si="4">WORKDAY($F$1,$A66/8)</f>
        <v>41625</v>
      </c>
      <c r="C66" s="9">
        <f t="shared" ref="C66:C97" si="5">FREQUENCY($B$2:$B$101,B66)/100</f>
        <v>0.45</v>
      </c>
    </row>
    <row r="67" spans="1:3" x14ac:dyDescent="0.25">
      <c r="A67">
        <v>673.33333333333348</v>
      </c>
      <c r="B67" s="3">
        <f t="shared" si="4"/>
        <v>41634</v>
      </c>
      <c r="C67" s="9">
        <f t="shared" si="5"/>
        <v>0.52</v>
      </c>
    </row>
    <row r="68" spans="1:3" x14ac:dyDescent="0.25">
      <c r="A68">
        <v>975.00000000000023</v>
      </c>
      <c r="B68" s="3">
        <f t="shared" si="4"/>
        <v>41687</v>
      </c>
      <c r="C68" s="9">
        <f t="shared" si="5"/>
        <v>0.95</v>
      </c>
    </row>
    <row r="69" spans="1:3" x14ac:dyDescent="0.25">
      <c r="A69">
        <v>933.33333333333348</v>
      </c>
      <c r="B69" s="3">
        <f t="shared" si="4"/>
        <v>41680</v>
      </c>
      <c r="C69" s="9">
        <f t="shared" si="5"/>
        <v>0.9</v>
      </c>
    </row>
    <row r="70" spans="1:3" x14ac:dyDescent="0.25">
      <c r="A70">
        <v>586.66666666666652</v>
      </c>
      <c r="B70" s="3">
        <f t="shared" si="4"/>
        <v>41619</v>
      </c>
      <c r="C70" s="9">
        <f t="shared" si="5"/>
        <v>0.3</v>
      </c>
    </row>
    <row r="71" spans="1:3" x14ac:dyDescent="0.25">
      <c r="A71">
        <v>552.91666666666663</v>
      </c>
      <c r="B71" s="3">
        <f t="shared" si="4"/>
        <v>41613</v>
      </c>
      <c r="C71" s="9">
        <f t="shared" si="5"/>
        <v>0.24</v>
      </c>
    </row>
    <row r="72" spans="1:3" x14ac:dyDescent="0.25">
      <c r="A72">
        <v>419.99999999999989</v>
      </c>
      <c r="B72" s="3">
        <f t="shared" si="4"/>
        <v>41590</v>
      </c>
      <c r="C72" s="9">
        <f t="shared" si="5"/>
        <v>0.05</v>
      </c>
    </row>
    <row r="73" spans="1:3" x14ac:dyDescent="0.25">
      <c r="A73">
        <v>542.91666666666663</v>
      </c>
      <c r="B73" s="3">
        <f t="shared" si="4"/>
        <v>41611</v>
      </c>
      <c r="C73" s="9">
        <f t="shared" si="5"/>
        <v>0.23</v>
      </c>
    </row>
    <row r="74" spans="1:3" x14ac:dyDescent="0.25">
      <c r="A74">
        <v>955.00000000000023</v>
      </c>
      <c r="B74" s="3">
        <f t="shared" si="4"/>
        <v>41683</v>
      </c>
      <c r="C74" s="9">
        <f t="shared" si="5"/>
        <v>0.92</v>
      </c>
    </row>
    <row r="75" spans="1:3" x14ac:dyDescent="0.25">
      <c r="A75">
        <v>701.66666666666686</v>
      </c>
      <c r="B75" s="3">
        <f t="shared" si="4"/>
        <v>41639</v>
      </c>
      <c r="C75" s="9">
        <f t="shared" si="5"/>
        <v>0.62</v>
      </c>
    </row>
    <row r="76" spans="1:3" x14ac:dyDescent="0.25">
      <c r="A76">
        <v>745.83333333333348</v>
      </c>
      <c r="B76" s="3">
        <f t="shared" si="4"/>
        <v>41647</v>
      </c>
      <c r="C76" s="9">
        <f t="shared" si="5"/>
        <v>0.7</v>
      </c>
    </row>
    <row r="77" spans="1:3" x14ac:dyDescent="0.25">
      <c r="A77">
        <v>972.08333333333337</v>
      </c>
      <c r="B77" s="3">
        <f t="shared" si="4"/>
        <v>41687</v>
      </c>
      <c r="C77" s="9">
        <f t="shared" si="5"/>
        <v>0.95</v>
      </c>
    </row>
    <row r="78" spans="1:3" x14ac:dyDescent="0.25">
      <c r="A78">
        <v>1178.3333333333333</v>
      </c>
      <c r="B78" s="3">
        <f t="shared" si="4"/>
        <v>41723</v>
      </c>
      <c r="C78" s="9">
        <f t="shared" si="5"/>
        <v>1</v>
      </c>
    </row>
    <row r="79" spans="1:3" x14ac:dyDescent="0.25">
      <c r="A79">
        <v>756.25000000000023</v>
      </c>
      <c r="B79" s="3">
        <f t="shared" si="4"/>
        <v>41648</v>
      </c>
      <c r="C79" s="9">
        <f t="shared" si="5"/>
        <v>0.73</v>
      </c>
    </row>
    <row r="80" spans="1:3" x14ac:dyDescent="0.25">
      <c r="A80">
        <v>845.41666666666663</v>
      </c>
      <c r="B80" s="3">
        <f t="shared" si="4"/>
        <v>41663</v>
      </c>
      <c r="C80" s="9">
        <f t="shared" si="5"/>
        <v>0.82</v>
      </c>
    </row>
    <row r="81" spans="1:3" x14ac:dyDescent="0.25">
      <c r="A81">
        <v>631.66666666666686</v>
      </c>
      <c r="B81" s="3">
        <f t="shared" si="4"/>
        <v>41626</v>
      </c>
      <c r="C81" s="9">
        <f t="shared" si="5"/>
        <v>0.48</v>
      </c>
    </row>
    <row r="82" spans="1:3" x14ac:dyDescent="0.25">
      <c r="A82">
        <v>603.33333333333337</v>
      </c>
      <c r="B82" s="3">
        <f t="shared" si="4"/>
        <v>41621</v>
      </c>
      <c r="C82" s="9">
        <f t="shared" si="5"/>
        <v>0.38</v>
      </c>
    </row>
    <row r="83" spans="1:3" x14ac:dyDescent="0.25">
      <c r="A83">
        <v>920.83333333333348</v>
      </c>
      <c r="B83" s="3">
        <f t="shared" si="4"/>
        <v>41677</v>
      </c>
      <c r="C83" s="9">
        <f t="shared" si="5"/>
        <v>0.88</v>
      </c>
    </row>
    <row r="84" spans="1:3" x14ac:dyDescent="0.25">
      <c r="A84">
        <v>694.16666666666674</v>
      </c>
      <c r="B84" s="3">
        <f t="shared" si="4"/>
        <v>41638</v>
      </c>
      <c r="C84" s="9">
        <f t="shared" si="5"/>
        <v>0.57999999999999996</v>
      </c>
    </row>
    <row r="85" spans="1:3" x14ac:dyDescent="0.25">
      <c r="A85">
        <v>702.50000000000011</v>
      </c>
      <c r="B85" s="3">
        <f t="shared" si="4"/>
        <v>41639</v>
      </c>
      <c r="C85" s="9">
        <f t="shared" si="5"/>
        <v>0.62</v>
      </c>
    </row>
    <row r="86" spans="1:3" x14ac:dyDescent="0.25">
      <c r="A86">
        <v>1017.5000000000001</v>
      </c>
      <c r="B86" s="3">
        <f t="shared" si="4"/>
        <v>41695</v>
      </c>
      <c r="C86" s="9">
        <f t="shared" si="5"/>
        <v>0.97</v>
      </c>
    </row>
    <row r="87" spans="1:3" x14ac:dyDescent="0.25">
      <c r="A87">
        <v>773.75</v>
      </c>
      <c r="B87" s="3">
        <f t="shared" si="4"/>
        <v>41652</v>
      </c>
      <c r="C87" s="9">
        <f t="shared" si="5"/>
        <v>0.77</v>
      </c>
    </row>
    <row r="88" spans="1:3" x14ac:dyDescent="0.25">
      <c r="A88">
        <v>505.8333333333332</v>
      </c>
      <c r="B88" s="3">
        <f t="shared" si="4"/>
        <v>41605</v>
      </c>
      <c r="C88" s="9">
        <f t="shared" si="5"/>
        <v>0.17</v>
      </c>
    </row>
    <row r="89" spans="1:3" x14ac:dyDescent="0.25">
      <c r="A89">
        <v>801.25</v>
      </c>
      <c r="B89" s="3">
        <f t="shared" si="4"/>
        <v>41656</v>
      </c>
      <c r="C89" s="9">
        <f t="shared" si="5"/>
        <v>0.81</v>
      </c>
    </row>
    <row r="90" spans="1:3" x14ac:dyDescent="0.25">
      <c r="A90">
        <v>953.33333333333348</v>
      </c>
      <c r="B90" s="3">
        <f t="shared" si="4"/>
        <v>41683</v>
      </c>
      <c r="C90" s="9">
        <f t="shared" si="5"/>
        <v>0.92</v>
      </c>
    </row>
    <row r="91" spans="1:3" x14ac:dyDescent="0.25">
      <c r="A91">
        <v>617.08333333333348</v>
      </c>
      <c r="B91" s="3">
        <f t="shared" si="4"/>
        <v>41625</v>
      </c>
      <c r="C91" s="9">
        <f t="shared" si="5"/>
        <v>0.45</v>
      </c>
    </row>
    <row r="92" spans="1:3" x14ac:dyDescent="0.25">
      <c r="A92">
        <v>501.66666666666657</v>
      </c>
      <c r="B92" s="3">
        <f t="shared" si="4"/>
        <v>41604</v>
      </c>
      <c r="C92" s="9">
        <f t="shared" si="5"/>
        <v>0.12</v>
      </c>
    </row>
    <row r="93" spans="1:3" x14ac:dyDescent="0.25">
      <c r="A93">
        <v>885.41666666666674</v>
      </c>
      <c r="B93" s="3">
        <f t="shared" si="4"/>
        <v>41670</v>
      </c>
      <c r="C93" s="9">
        <f t="shared" si="5"/>
        <v>0.86</v>
      </c>
    </row>
    <row r="94" spans="1:3" x14ac:dyDescent="0.25">
      <c r="A94">
        <v>804.58333333333337</v>
      </c>
      <c r="B94" s="3">
        <f t="shared" si="4"/>
        <v>41656</v>
      </c>
      <c r="C94" s="9">
        <f t="shared" si="5"/>
        <v>0.81</v>
      </c>
    </row>
    <row r="95" spans="1:3" x14ac:dyDescent="0.25">
      <c r="A95">
        <v>1041.6666666666667</v>
      </c>
      <c r="B95" s="3">
        <f t="shared" si="4"/>
        <v>41698</v>
      </c>
      <c r="C95" s="9">
        <f t="shared" si="5"/>
        <v>0.98</v>
      </c>
    </row>
    <row r="96" spans="1:3" x14ac:dyDescent="0.25">
      <c r="A96">
        <v>803.33333333333337</v>
      </c>
      <c r="B96" s="3">
        <f t="shared" si="4"/>
        <v>41656</v>
      </c>
      <c r="C96" s="9">
        <f t="shared" si="5"/>
        <v>0.81</v>
      </c>
    </row>
    <row r="97" spans="1:3" x14ac:dyDescent="0.25">
      <c r="A97">
        <v>897.50000000000023</v>
      </c>
      <c r="B97" s="3">
        <f t="shared" si="4"/>
        <v>41674</v>
      </c>
      <c r="C97" s="9">
        <f t="shared" si="5"/>
        <v>0.87</v>
      </c>
    </row>
    <row r="98" spans="1:3" x14ac:dyDescent="0.25">
      <c r="A98">
        <v>520.83333333333326</v>
      </c>
      <c r="B98" s="3">
        <f t="shared" si="4"/>
        <v>41607</v>
      </c>
      <c r="C98" s="9">
        <f t="shared" ref="C98:C129" si="6">FREQUENCY($B$2:$B$101,B98)/100</f>
        <v>0.18</v>
      </c>
    </row>
    <row r="99" spans="1:3" x14ac:dyDescent="0.25">
      <c r="A99">
        <v>719.16666666666686</v>
      </c>
      <c r="B99" s="3">
        <f t="shared" si="4"/>
        <v>41641</v>
      </c>
      <c r="C99" s="9">
        <f t="shared" si="6"/>
        <v>0.64</v>
      </c>
    </row>
    <row r="100" spans="1:3" x14ac:dyDescent="0.25">
      <c r="A100">
        <v>592.5</v>
      </c>
      <c r="B100" s="3">
        <f t="shared" si="4"/>
        <v>41620</v>
      </c>
      <c r="C100" s="9">
        <f t="shared" si="6"/>
        <v>0.33</v>
      </c>
    </row>
    <row r="101" spans="1:3" x14ac:dyDescent="0.25">
      <c r="A101">
        <v>389.99999999999994</v>
      </c>
      <c r="B101" s="3">
        <f t="shared" si="4"/>
        <v>41584</v>
      </c>
      <c r="C101" s="9">
        <f t="shared" si="6"/>
        <v>0.01</v>
      </c>
    </row>
  </sheetData>
  <dataConsolidate function="countNums">
    <dataRefs count="1">
      <dataRef ref="B2:B101" sheet="MC"/>
    </dataRefs>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unMCSim">
                <anchor moveWithCells="1" sizeWithCells="1">
                  <from>
                    <xdr:col>6</xdr:col>
                    <xdr:colOff>457200</xdr:colOff>
                    <xdr:row>3</xdr:row>
                    <xdr:rowOff>161925</xdr:rowOff>
                  </from>
                  <to>
                    <xdr:col>12</xdr:col>
                    <xdr:colOff>466725</xdr:colOff>
                    <xdr:row>5</xdr:row>
                    <xdr:rowOff>142875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Instructions</vt:lpstr>
      <vt:lpstr>deliverables</vt:lpstr>
      <vt:lpstr>schedule</vt:lpstr>
      <vt:lpstr>MC</vt:lpstr>
      <vt:lpstr>Estimation Indicator</vt:lpstr>
    </vt:vector>
  </TitlesOfParts>
  <LinksUpToDate>false</LinksUpToDate>
  <SharedDoc>false</SharedDoc>
  <HyperlinkBase>https://github.com/mjwade/spolsky-sheets</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Spolsky Sheets</dc:title>
  <dc:creator/>
  <cp:keywords>GPL v2</cp:keywords>
  <dc:description>Excel spreadsheets for Evidence Based Scheduling as described by Joel Spolsky </dc:description>
  <cp:lastModifiedBy>Michael Wade</cp:lastModifiedBy>
  <dcterms:created xsi:type="dcterms:W3CDTF">2013-10-15T03:58:55Z</dcterms:created>
  <dcterms:modified xsi:type="dcterms:W3CDTF">2013-10-15T04:21:33Z</dcterms:modified>
  <cp:category/>
</cp:coreProperties>
</file>